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X:\grp\All-DBU\!OKO\2026-1\"/>
    </mc:Choice>
  </mc:AlternateContent>
  <bookViews>
    <workbookView xWindow="-120" yWindow="-120" windowWidth="23130" windowHeight="13050" tabRatio="891" firstSheet="3" activeTab="4"/>
  </bookViews>
  <sheets>
    <sheet name="Оглавление" sheetId="83" state="hidden" r:id="rId1"/>
    <sheet name="Общие сведения" sheetId="60" r:id="rId2"/>
    <sheet name="Справочники" sheetId="82" state="hidden" r:id="rId3"/>
    <sheet name="Заголовочная часть" sheetId="93" r:id="rId4"/>
    <sheet name="Баланс" sheetId="91" r:id="rId5"/>
    <sheet name="Финансовый результат" sheetId="2" r:id="rId6"/>
    <sheet name="Изменение капитала" sheetId="61" r:id="rId7"/>
    <sheet name="Изм. капитала старый формат" sheetId="94" state="hidden" r:id="rId8"/>
    <sheet name="Коррект. изм.УП старый формат" sheetId="95" state="hidden" r:id="rId9"/>
    <sheet name="Движение денежных средств" sheetId="63" r:id="rId10"/>
    <sheet name="5.1.1" sheetId="65" state="hidden" r:id="rId11"/>
    <sheet name="5.1.2" sheetId="85" state="hidden" r:id="rId12"/>
    <sheet name="5.1.3" sheetId="86" state="hidden" r:id="rId13"/>
    <sheet name="5.2.1" sheetId="68" state="hidden" r:id="rId14"/>
    <sheet name="5.2.2" sheetId="88" state="hidden" r:id="rId15"/>
    <sheet name="5.2.3" sheetId="89" state="hidden" r:id="rId16"/>
    <sheet name="5.2.4" sheetId="70" state="hidden" r:id="rId17"/>
    <sheet name="5.3.1" sheetId="71" state="hidden" r:id="rId18"/>
    <sheet name="5.3.2" sheetId="73" state="hidden" r:id="rId19"/>
    <sheet name="5.4.1 5.4.2" sheetId="74" state="hidden" r:id="rId20"/>
    <sheet name="5.5" sheetId="77" state="hidden" r:id="rId21"/>
    <sheet name="5.6" sheetId="78" state="hidden" r:id="rId22"/>
    <sheet name="5.7" sheetId="80" state="hidden" r:id="rId23"/>
    <sheet name="5.8" sheetId="81" state="hidden" r:id="rId24"/>
  </sheets>
  <definedNames>
    <definedName name="_xlnm._FilterDatabase" localSheetId="10" hidden="1">'5.1.1'!$Q$20:$Q$46</definedName>
    <definedName name="_xlnm._FilterDatabase" localSheetId="11" hidden="1">'5.1.2'!$Q$1:$Q$45</definedName>
    <definedName name="_xlnm._FilterDatabase" localSheetId="12" hidden="1">'5.1.3'!$K$17:$K$20</definedName>
    <definedName name="_xlnm._FilterDatabase" localSheetId="13" hidden="1">'5.2.1'!$Q$20:$Q$48</definedName>
    <definedName name="_xlnm._FilterDatabase" localSheetId="14" hidden="1">'5.2.2'!$S$19:$S$33</definedName>
    <definedName name="_xlnm._FilterDatabase" localSheetId="15" hidden="1">'5.2.3'!$A$17:$K$17</definedName>
    <definedName name="_xlnm._FilterDatabase" localSheetId="16" hidden="1">'5.2.4'!$K$16:$K$20</definedName>
    <definedName name="_xlnm._FilterDatabase" localSheetId="17" hidden="1">'5.3.1'!$P$21:$P$44</definedName>
    <definedName name="_xlnm._FilterDatabase" localSheetId="19" hidden="1">'5.4.1 5.4.2'!$O$21:$O$47</definedName>
    <definedName name="SAPBEXhrIndnt" hidden="1">"Wide"</definedName>
    <definedName name="SAPsysID" hidden="1">"708C5W7SBKP804JT78WJ0JNKI"</definedName>
    <definedName name="SAPwbID" hidden="1">"ARS"</definedName>
    <definedName name="Z_381F21F2_E30E_4682_9F4B_4A320FD40196_.wvu.Cols" localSheetId="7" hidden="1">'Изм. капитала старый формат'!$H:$H</definedName>
    <definedName name="Z_381F21F2_E30E_4682_9F4B_4A320FD40196_.wvu.Cols" localSheetId="6" hidden="1">'Изменение капитала'!$I:$I</definedName>
    <definedName name="Z_381F21F2_E30E_4682_9F4B_4A320FD40196_.wvu.Cols" localSheetId="8" hidden="1">'Коррект. изм.УП старый формат'!$H:$H</definedName>
    <definedName name="Z_381F21F2_E30E_4682_9F4B_4A320FD40196_.wvu.PrintArea" localSheetId="5" hidden="1">'Финансовый результат'!$A$1:$E$72</definedName>
    <definedName name="Z_381F21F2_E30E_4682_9F4B_4A320FD40196_.wvu.Rows" localSheetId="8" hidden="1">'Коррект. изм.УП старый формат'!$7:$7,'Коррект. изм.УП старый формат'!$44:$44</definedName>
    <definedName name="Z_381F21F2_E30E_4682_9F4B_4A320FD40196_.wvu.Rows" localSheetId="5" hidden="1">'Финансовый результат'!$68:$69</definedName>
    <definedName name="Z_449357B4_BB06_43EE_BDD1_E9DB10F5F758_.wvu.Cols" localSheetId="7" hidden="1">'Изм. капитала старый формат'!$H:$H</definedName>
    <definedName name="Z_449357B4_BB06_43EE_BDD1_E9DB10F5F758_.wvu.Cols" localSheetId="6" hidden="1">'Изменение капитала'!$I:$I</definedName>
    <definedName name="Z_449357B4_BB06_43EE_BDD1_E9DB10F5F758_.wvu.Cols" localSheetId="8" hidden="1">'Коррект. изм.УП старый формат'!$H:$H</definedName>
    <definedName name="Z_449357B4_BB06_43EE_BDD1_E9DB10F5F758_.wvu.PrintArea" localSheetId="10" hidden="1">'5.1.1'!$A$12:$Q$53</definedName>
    <definedName name="Z_449357B4_BB06_43EE_BDD1_E9DB10F5F758_.wvu.PrintArea" localSheetId="11" hidden="1">'5.1.2'!$A$2:$Q$37</definedName>
    <definedName name="Z_449357B4_BB06_43EE_BDD1_E9DB10F5F758_.wvu.PrintArea" localSheetId="13" hidden="1">'5.2.1'!$A$12:$O$48</definedName>
    <definedName name="Z_449357B4_BB06_43EE_BDD1_E9DB10F5F758_.wvu.PrintArea" localSheetId="14" hidden="1">'5.2.2'!$A$12:$Q$33</definedName>
    <definedName name="Z_449357B4_BB06_43EE_BDD1_E9DB10F5F758_.wvu.PrintArea" localSheetId="16" hidden="1">'5.2.4'!$A$12:$I$20</definedName>
    <definedName name="Z_449357B4_BB06_43EE_BDD1_E9DB10F5F758_.wvu.PrintArea" localSheetId="17" hidden="1">'5.3.1'!$A$13:$N$44</definedName>
    <definedName name="Z_449357B4_BB06_43EE_BDD1_E9DB10F5F758_.wvu.PrintArea" localSheetId="18" hidden="1">'5.3.2'!$A$12:$N$36</definedName>
    <definedName name="Z_449357B4_BB06_43EE_BDD1_E9DB10F5F758_.wvu.PrintArea" localSheetId="19" hidden="1">'5.4.1 5.4.2'!$B$37:$I$46</definedName>
    <definedName name="Z_449357B4_BB06_43EE_BDD1_E9DB10F5F758_.wvu.PrintArea" localSheetId="20" hidden="1">'5.5'!$A$12:$H$24</definedName>
    <definedName name="Z_449357B4_BB06_43EE_BDD1_E9DB10F5F758_.wvu.PrintArea" localSheetId="21" hidden="1">'5.6'!$A$11:$I$30</definedName>
    <definedName name="Z_449357B4_BB06_43EE_BDD1_E9DB10F5F758_.wvu.PrintArea" localSheetId="5" hidden="1">'Финансовый результат'!$A$1:$E$73</definedName>
    <definedName name="Z_449357B4_BB06_43EE_BDD1_E9DB10F5F758_.wvu.PrintTitles" localSheetId="10" hidden="1">'5.1.1'!#REF!</definedName>
    <definedName name="Z_449357B4_BB06_43EE_BDD1_E9DB10F5F758_.wvu.PrintTitles" localSheetId="11" hidden="1">'5.1.2'!#REF!</definedName>
    <definedName name="Z_449357B4_BB06_43EE_BDD1_E9DB10F5F758_.wvu.Rows" localSheetId="10" hidden="1">'5.1.1'!$36:$42,'5.1.1'!$47:$53,'5.1.1'!#REF!</definedName>
    <definedName name="Z_449357B4_BB06_43EE_BDD1_E9DB10F5F758_.wvu.Rows" localSheetId="11" hidden="1">'5.1.2'!$23:$29,'5.1.2'!$32:$37,'5.1.2'!#REF!</definedName>
    <definedName name="Z_449357B4_BB06_43EE_BDD1_E9DB10F5F758_.wvu.Rows" localSheetId="17" hidden="1">'5.3.1'!$38:$38</definedName>
    <definedName name="Z_449357B4_BB06_43EE_BDD1_E9DB10F5F758_.wvu.Rows" localSheetId="19" hidden="1">'5.4.1 5.4.2'!$44:$45</definedName>
    <definedName name="Z_449357B4_BB06_43EE_BDD1_E9DB10F5F758_.wvu.Rows" localSheetId="20" hidden="1">'5.5'!$2:$16</definedName>
    <definedName name="Z_449357B4_BB06_43EE_BDD1_E9DB10F5F758_.wvu.Rows" localSheetId="8" hidden="1">'Коррект. изм.УП старый формат'!$7:$7,'Коррект. изм.УП старый формат'!$44:$44</definedName>
    <definedName name="Z_449357B4_BB06_43EE_BDD1_E9DB10F5F758_.wvu.Rows" localSheetId="5" hidden="1">'Финансовый результат'!$68:$69</definedName>
    <definedName name="Z_8113CA6F_C5D4_47F4_A07D_D92EDC610AC3_.wvu.Cols" localSheetId="7" hidden="1">'Изм. капитала старый формат'!$H:$H</definedName>
    <definedName name="Z_8113CA6F_C5D4_47F4_A07D_D92EDC610AC3_.wvu.Cols" localSheetId="6" hidden="1">'Изменение капитала'!$I:$I</definedName>
    <definedName name="Z_8113CA6F_C5D4_47F4_A07D_D92EDC610AC3_.wvu.Cols" localSheetId="8" hidden="1">'Коррект. изм.УП старый формат'!$H:$H</definedName>
    <definedName name="Z_8113CA6F_C5D4_47F4_A07D_D92EDC610AC3_.wvu.PrintArea" localSheetId="10" hidden="1">'5.1.1'!$A$12:$Q$53</definedName>
    <definedName name="Z_8113CA6F_C5D4_47F4_A07D_D92EDC610AC3_.wvu.PrintArea" localSheetId="11" hidden="1">'5.1.2'!$A$2:$Q$37</definedName>
    <definedName name="Z_8113CA6F_C5D4_47F4_A07D_D92EDC610AC3_.wvu.PrintArea" localSheetId="13" hidden="1">'5.2.1'!$A$12:$O$48</definedName>
    <definedName name="Z_8113CA6F_C5D4_47F4_A07D_D92EDC610AC3_.wvu.PrintArea" localSheetId="14" hidden="1">'5.2.2'!$A$12:$Q$33</definedName>
    <definedName name="Z_8113CA6F_C5D4_47F4_A07D_D92EDC610AC3_.wvu.PrintArea" localSheetId="16" hidden="1">'5.2.4'!$A$12:$I$20</definedName>
    <definedName name="Z_8113CA6F_C5D4_47F4_A07D_D92EDC610AC3_.wvu.PrintArea" localSheetId="17" hidden="1">'5.3.1'!$A$13:$N$44</definedName>
    <definedName name="Z_8113CA6F_C5D4_47F4_A07D_D92EDC610AC3_.wvu.PrintArea" localSheetId="18" hidden="1">'5.3.2'!$A$12:$N$36</definedName>
    <definedName name="Z_8113CA6F_C5D4_47F4_A07D_D92EDC610AC3_.wvu.PrintArea" localSheetId="19" hidden="1">'5.4.1 5.4.2'!$B$37:$I$46</definedName>
    <definedName name="Z_8113CA6F_C5D4_47F4_A07D_D92EDC610AC3_.wvu.PrintArea" localSheetId="20" hidden="1">'5.5'!$A$12:$H$24</definedName>
    <definedName name="Z_8113CA6F_C5D4_47F4_A07D_D92EDC610AC3_.wvu.PrintArea" localSheetId="21" hidden="1">'5.6'!$A$11:$I$30</definedName>
    <definedName name="Z_8113CA6F_C5D4_47F4_A07D_D92EDC610AC3_.wvu.PrintArea" localSheetId="5" hidden="1">'Финансовый результат'!$A$1:$E$73</definedName>
    <definedName name="Z_8113CA6F_C5D4_47F4_A07D_D92EDC610AC3_.wvu.PrintTitles" localSheetId="10" hidden="1">'5.1.1'!#REF!</definedName>
    <definedName name="Z_8113CA6F_C5D4_47F4_A07D_D92EDC610AC3_.wvu.PrintTitles" localSheetId="11" hidden="1">'5.1.2'!#REF!</definedName>
    <definedName name="Z_8113CA6F_C5D4_47F4_A07D_D92EDC610AC3_.wvu.Rows" localSheetId="10" hidden="1">'5.1.1'!$1:$10,'5.1.1'!$26:$42,'5.1.1'!#REF!,'5.1.1'!$47:$52,'5.1.1'!#REF!</definedName>
    <definedName name="Z_8113CA6F_C5D4_47F4_A07D_D92EDC610AC3_.wvu.Rows" localSheetId="11" hidden="1">'5.1.2'!#REF!,'5.1.2'!$13:$29,'5.1.2'!#REF!,'5.1.2'!$32:$36,'5.1.2'!#REF!</definedName>
    <definedName name="Z_8113CA6F_C5D4_47F4_A07D_D92EDC610AC3_.wvu.Rows" localSheetId="13" hidden="1">'5.2.1'!$2:$20,'5.2.1'!$24:$24,'5.2.1'!$38:$38</definedName>
    <definedName name="Z_8113CA6F_C5D4_47F4_A07D_D92EDC610AC3_.wvu.Rows" localSheetId="14" hidden="1">'5.2.2'!$2:$19,'5.2.2'!$23:$23,'5.2.2'!#REF!</definedName>
    <definedName name="Z_8113CA6F_C5D4_47F4_A07D_D92EDC610AC3_.wvu.Rows" localSheetId="16" hidden="1">'5.2.4'!$2:$16</definedName>
    <definedName name="Z_8113CA6F_C5D4_47F4_A07D_D92EDC610AC3_.wvu.Rows" localSheetId="17" hidden="1">'5.3.1'!$3:$21,'5.3.1'!$38:$38</definedName>
    <definedName name="Z_8113CA6F_C5D4_47F4_A07D_D92EDC610AC3_.wvu.Rows" localSheetId="18" hidden="1">'5.3.2'!$2:$16,'5.3.2'!$32:$36,'5.3.2'!#REF!</definedName>
    <definedName name="Z_8113CA6F_C5D4_47F4_A07D_D92EDC610AC3_.wvu.Rows" localSheetId="19" hidden="1">'5.4.1 5.4.2'!#REF!,'5.4.1 5.4.2'!$44:$45</definedName>
    <definedName name="Z_8113CA6F_C5D4_47F4_A07D_D92EDC610AC3_.wvu.Rows" localSheetId="20" hidden="1">'5.5'!$2:$16</definedName>
    <definedName name="Z_8113CA6F_C5D4_47F4_A07D_D92EDC610AC3_.wvu.Rows" localSheetId="21" hidden="1">'5.6'!$2:$15</definedName>
    <definedName name="Z_8113CA6F_C5D4_47F4_A07D_D92EDC610AC3_.wvu.Rows" localSheetId="8" hidden="1">'Коррект. изм.УП старый формат'!$7:$7,'Коррект. изм.УП старый формат'!$44:$44</definedName>
    <definedName name="Z_8113CA6F_C5D4_47F4_A07D_D92EDC610AC3_.wvu.Rows" localSheetId="5" hidden="1">'Финансовый результат'!$68:$69</definedName>
    <definedName name="Z_D90D10AA_D1FA_4D2C_80EF_CFF8B2324302_.wvu.Cols" localSheetId="7" hidden="1">'Изм. капитала старый формат'!$H:$H</definedName>
    <definedName name="Z_D90D10AA_D1FA_4D2C_80EF_CFF8B2324302_.wvu.Cols" localSheetId="6" hidden="1">'Изменение капитала'!$I:$I</definedName>
    <definedName name="Z_D90D10AA_D1FA_4D2C_80EF_CFF8B2324302_.wvu.Cols" localSheetId="8" hidden="1">'Коррект. изм.УП старый формат'!$H:$H</definedName>
    <definedName name="Z_D90D10AA_D1FA_4D2C_80EF_CFF8B2324302_.wvu.PrintArea" localSheetId="10" hidden="1">'5.1.1'!$A$12:$Q$53</definedName>
    <definedName name="Z_D90D10AA_D1FA_4D2C_80EF_CFF8B2324302_.wvu.PrintArea" localSheetId="11" hidden="1">'5.1.2'!$A$2:$Q$37</definedName>
    <definedName name="Z_D90D10AA_D1FA_4D2C_80EF_CFF8B2324302_.wvu.PrintArea" localSheetId="13" hidden="1">'5.2.1'!$A$12:$O$48</definedName>
    <definedName name="Z_D90D10AA_D1FA_4D2C_80EF_CFF8B2324302_.wvu.PrintArea" localSheetId="14" hidden="1">'5.2.2'!$A$12:$Q$33</definedName>
    <definedName name="Z_D90D10AA_D1FA_4D2C_80EF_CFF8B2324302_.wvu.PrintArea" localSheetId="16" hidden="1">'5.2.4'!$A$12:$I$20</definedName>
    <definedName name="Z_D90D10AA_D1FA_4D2C_80EF_CFF8B2324302_.wvu.PrintArea" localSheetId="17" hidden="1">'5.3.1'!$A$13:$N$44</definedName>
    <definedName name="Z_D90D10AA_D1FA_4D2C_80EF_CFF8B2324302_.wvu.PrintArea" localSheetId="18" hidden="1">'5.3.2'!$A$12:$N$36</definedName>
    <definedName name="Z_D90D10AA_D1FA_4D2C_80EF_CFF8B2324302_.wvu.PrintArea" localSheetId="19" hidden="1">'5.4.1 5.4.2'!$B$37:$I$46</definedName>
    <definedName name="Z_D90D10AA_D1FA_4D2C_80EF_CFF8B2324302_.wvu.PrintArea" localSheetId="20" hidden="1">'5.5'!$A$12:$H$24</definedName>
    <definedName name="Z_D90D10AA_D1FA_4D2C_80EF_CFF8B2324302_.wvu.PrintArea" localSheetId="21" hidden="1">'5.6'!$A$11:$I$30</definedName>
    <definedName name="Z_D90D10AA_D1FA_4D2C_80EF_CFF8B2324302_.wvu.PrintArea" localSheetId="5" hidden="1">'Финансовый результат'!$A$1:$E$73</definedName>
    <definedName name="Z_D90D10AA_D1FA_4D2C_80EF_CFF8B2324302_.wvu.PrintTitles" localSheetId="10" hidden="1">'5.1.1'!#REF!</definedName>
    <definedName name="Z_D90D10AA_D1FA_4D2C_80EF_CFF8B2324302_.wvu.PrintTitles" localSheetId="11" hidden="1">'5.1.2'!#REF!</definedName>
    <definedName name="Z_D90D10AA_D1FA_4D2C_80EF_CFF8B2324302_.wvu.Rows" localSheetId="10" hidden="1">'5.1.1'!$36:$42,'5.1.1'!$47:$53,'5.1.1'!#REF!</definedName>
    <definedName name="Z_D90D10AA_D1FA_4D2C_80EF_CFF8B2324302_.wvu.Rows" localSheetId="11" hidden="1">'5.1.2'!$23:$29,'5.1.2'!$32:$37,'5.1.2'!#REF!</definedName>
    <definedName name="Z_D90D10AA_D1FA_4D2C_80EF_CFF8B2324302_.wvu.Rows" localSheetId="17" hidden="1">'5.3.1'!$38:$38</definedName>
    <definedName name="Z_D90D10AA_D1FA_4D2C_80EF_CFF8B2324302_.wvu.Rows" localSheetId="19" hidden="1">'5.4.1 5.4.2'!$44:$45</definedName>
    <definedName name="Z_D90D10AA_D1FA_4D2C_80EF_CFF8B2324302_.wvu.Rows" localSheetId="20" hidden="1">'5.5'!$2:$16</definedName>
    <definedName name="Z_D90D10AA_D1FA_4D2C_80EF_CFF8B2324302_.wvu.Rows" localSheetId="8" hidden="1">'Коррект. изм.УП старый формат'!$7:$7,'Коррект. изм.УП старый формат'!$44:$44</definedName>
    <definedName name="Z_D90D10AA_D1FA_4D2C_80EF_CFF8B2324302_.wvu.Rows" localSheetId="5" hidden="1">'Финансовый результат'!$68:$69</definedName>
    <definedName name="_xlnm.Print_Titles" localSheetId="10">'5.1.1'!#REF!</definedName>
    <definedName name="_xlnm.Print_Titles" localSheetId="11">'5.1.2'!#REF!</definedName>
    <definedName name="_xlnm.Print_Area" localSheetId="10">'5.1.1'!$A$10:$O$53</definedName>
    <definedName name="_xlnm.Print_Area" localSheetId="11">'5.1.2'!$A$2:$O$37</definedName>
    <definedName name="_xlnm.Print_Area" localSheetId="12">'5.1.3'!$A$12:$I$18</definedName>
    <definedName name="_xlnm.Print_Area" localSheetId="13">'5.2.1'!$A$12:$O$48</definedName>
    <definedName name="_xlnm.Print_Area" localSheetId="14">'5.2.2'!$A$12:$Q$33</definedName>
    <definedName name="_xlnm.Print_Area" localSheetId="15">'5.2.3'!$A$12:$I$23</definedName>
    <definedName name="_xlnm.Print_Area" localSheetId="16">'5.2.4'!$A$12:$I$20</definedName>
    <definedName name="_xlnm.Print_Area" localSheetId="17">'5.3.1'!$A$13:$N$44</definedName>
    <definedName name="_xlnm.Print_Area" localSheetId="18">'5.3.2'!$A$12:$J$30</definedName>
    <definedName name="_xlnm.Print_Area" localSheetId="19">'5.4.1 5.4.2'!$B$13:$M$46</definedName>
    <definedName name="_xlnm.Print_Area" localSheetId="20">'5.5'!$A$12:$G$24</definedName>
    <definedName name="_xlnm.Print_Area" localSheetId="21">'5.6'!$A$11:$I$31</definedName>
    <definedName name="_xlnm.Print_Area" localSheetId="22">'5.7'!$A$14:$O$38</definedName>
    <definedName name="_xlnm.Print_Area" localSheetId="23">'5.8'!$A$12:$I$28</definedName>
    <definedName name="_xlnm.Print_Area" localSheetId="4">Баланс!$A$1:$F$179</definedName>
    <definedName name="_xlnm.Print_Area" localSheetId="9">'Движение денежных средств'!$A$1:$E$100</definedName>
    <definedName name="_xlnm.Print_Area" localSheetId="3">'Заголовочная часть'!$B$1:$DB$31</definedName>
    <definedName name="_xlnm.Print_Area" localSheetId="7">'Изм. капитала старый формат'!$A$1:$J$171</definedName>
    <definedName name="_xlnm.Print_Area" localSheetId="6">'Изменение капитала'!$A$1:$K$82</definedName>
    <definedName name="_xlnm.Print_Area" localSheetId="8">'Коррект. изм.УП старый формат'!$A$1:$F$50</definedName>
    <definedName name="_xlnm.Print_Area" localSheetId="1">'Общие сведения'!$A$1:$E$61</definedName>
    <definedName name="_xlnm.Print_Area" localSheetId="0">Оглавление!$A$1:$C$27</definedName>
    <definedName name="_xlnm.Print_Area" localSheetId="5">'Финансовый результат'!$A$1:$E$76</definedName>
  </definedNames>
  <calcPr calcId="152511"/>
  <customWorkbookViews>
    <customWorkbookView name="Епишкова Валерия Юрьевна - Личное представление" guid="{D90D10AA-D1FA-4D2C-80EF-CFF8B2324302}" mergeInterval="0" personalView="1" maximized="1" windowWidth="1276" windowHeight="783" tabRatio="910" activeSheetId="18"/>
    <customWorkbookView name="Чернышова - Личное представление" guid="{449357B4-BB06-43EE-BDD1-E9DB10F5F758}" mergeInterval="0" personalView="1" maximized="1" windowWidth="1276" windowHeight="833" tabRatio="910" activeSheetId="18"/>
    <customWorkbookView name="Alexey - Личное представление" guid="{8113CA6F-C5D4-47F4-A07D-D92EDC610AC3}" mergeInterval="0" personalView="1" maximized="1" windowWidth="1276" windowHeight="781" tabRatio="910" activeSheetId="7"/>
  </customWorkbookViews>
</workbook>
</file>

<file path=xl/calcChain.xml><?xml version="1.0" encoding="utf-8"?>
<calcChain xmlns="http://schemas.openxmlformats.org/spreadsheetml/2006/main">
  <c r="D24" i="60" l="1"/>
  <c r="D22" i="60"/>
  <c r="D4" i="60" l="1"/>
  <c r="A9" i="63" l="1"/>
  <c r="A8" i="61"/>
  <c r="A7" i="2"/>
  <c r="A5" i="91"/>
  <c r="D27" i="60" l="1"/>
  <c r="C34" i="71" l="1"/>
  <c r="C33" i="71"/>
  <c r="D15" i="81" l="1"/>
  <c r="D40" i="74"/>
  <c r="E15" i="73"/>
  <c r="D15" i="70"/>
  <c r="D15" i="89"/>
  <c r="D15" i="86"/>
  <c r="CR27" i="93"/>
  <c r="D13" i="60"/>
  <c r="CR17" i="93" s="1"/>
  <c r="CH17" i="93" l="1"/>
  <c r="CH27" i="93"/>
  <c r="B76" i="61"/>
  <c r="B49" i="61" l="1"/>
  <c r="B20" i="61"/>
  <c r="B48" i="61" l="1"/>
  <c r="B43" i="61"/>
  <c r="B39" i="61"/>
  <c r="B19" i="61"/>
  <c r="B16" i="61"/>
  <c r="E9" i="91" l="1"/>
  <c r="E5" i="91"/>
  <c r="C34" i="74" l="1"/>
  <c r="C32" i="74"/>
  <c r="C30" i="74"/>
  <c r="C26" i="74"/>
  <c r="C23" i="74"/>
  <c r="C44" i="71"/>
  <c r="C42" i="71"/>
  <c r="C40" i="71"/>
  <c r="C36" i="71"/>
  <c r="C32" i="71"/>
  <c r="C30" i="71"/>
  <c r="C28" i="71"/>
  <c r="C26" i="71"/>
  <c r="C23" i="71"/>
  <c r="C46" i="65"/>
  <c r="C25" i="65"/>
  <c r="C22" i="65"/>
  <c r="C33" i="88"/>
  <c r="C31" i="88"/>
  <c r="C29" i="88"/>
  <c r="C27" i="88"/>
  <c r="C25" i="88"/>
  <c r="C21" i="88"/>
  <c r="C22" i="68"/>
  <c r="C26" i="68"/>
  <c r="C28" i="68"/>
  <c r="C30" i="68"/>
  <c r="C32" i="68"/>
  <c r="C34" i="68"/>
  <c r="C36" i="68"/>
  <c r="C40" i="68"/>
  <c r="C48" i="68"/>
  <c r="C46" i="68"/>
  <c r="C42" i="68"/>
  <c r="C31" i="85"/>
  <c r="C12" i="85"/>
  <c r="C9" i="85"/>
  <c r="E21" i="65" l="1"/>
  <c r="C37" i="80" l="1"/>
  <c r="C35" i="80"/>
  <c r="C33" i="80"/>
  <c r="C31" i="80"/>
  <c r="C29" i="80"/>
  <c r="C27" i="80"/>
  <c r="C25" i="80"/>
  <c r="C21" i="80"/>
  <c r="C30" i="78"/>
  <c r="C28" i="78"/>
  <c r="C26" i="78"/>
  <c r="C24" i="78"/>
  <c r="C22" i="78"/>
  <c r="C20" i="78"/>
  <c r="C18" i="78"/>
  <c r="C16" i="78"/>
  <c r="F15" i="77"/>
  <c r="D15" i="77"/>
  <c r="C33" i="74"/>
  <c r="C31" i="74"/>
  <c r="C29" i="74"/>
  <c r="C25" i="74"/>
  <c r="C22" i="74"/>
  <c r="C43" i="71"/>
  <c r="C41" i="71"/>
  <c r="C39" i="71"/>
  <c r="C35" i="71"/>
  <c r="C31" i="71"/>
  <c r="C29" i="71"/>
  <c r="C27" i="71"/>
  <c r="C25" i="71"/>
  <c r="C22" i="71"/>
  <c r="C32" i="88"/>
  <c r="C30" i="88"/>
  <c r="C28" i="88"/>
  <c r="C26" i="88"/>
  <c r="C24" i="88"/>
  <c r="C20" i="88"/>
  <c r="C47" i="68"/>
  <c r="C45" i="68"/>
  <c r="C41" i="68"/>
  <c r="C39" i="68"/>
  <c r="C35" i="68"/>
  <c r="C33" i="68"/>
  <c r="C31" i="68"/>
  <c r="C29" i="68"/>
  <c r="C27" i="68"/>
  <c r="C25" i="68"/>
  <c r="C21" i="68"/>
  <c r="C45" i="65"/>
  <c r="C24" i="65"/>
  <c r="C21" i="65"/>
  <c r="E15" i="63"/>
  <c r="D15" i="63"/>
  <c r="E13" i="2" l="1"/>
  <c r="D13" i="2"/>
  <c r="C30" i="85"/>
  <c r="C11" i="85"/>
  <c r="C8" i="85"/>
  <c r="A3" i="63"/>
  <c r="B2" i="94"/>
  <c r="A2" i="61"/>
  <c r="A2" i="2"/>
  <c r="B4" i="93" l="1"/>
  <c r="D47" i="95" l="1"/>
  <c r="A47" i="95"/>
  <c r="E43" i="95"/>
  <c r="D43" i="95"/>
  <c r="C43" i="95"/>
  <c r="F5" i="95"/>
  <c r="D5" i="95"/>
  <c r="C5" i="95"/>
  <c r="J13" i="94" l="1"/>
  <c r="J12" i="94"/>
  <c r="A12" i="94"/>
  <c r="J9" i="94"/>
  <c r="J8" i="94"/>
  <c r="A8" i="94"/>
  <c r="F57" i="95" l="1"/>
  <c r="E57" i="95"/>
  <c r="D57" i="95"/>
  <c r="C57" i="95"/>
  <c r="F56" i="95"/>
  <c r="E56" i="95"/>
  <c r="D56" i="95"/>
  <c r="C56" i="95"/>
  <c r="F55" i="95"/>
  <c r="E55" i="95"/>
  <c r="D55" i="95"/>
  <c r="C55" i="95"/>
  <c r="F53" i="95"/>
  <c r="E53" i="95"/>
  <c r="D53" i="95"/>
  <c r="C53" i="95"/>
  <c r="J170" i="94"/>
  <c r="J169" i="94"/>
  <c r="J168" i="94"/>
  <c r="J167" i="94"/>
  <c r="J166" i="94"/>
  <c r="J165" i="94"/>
  <c r="J164" i="94"/>
  <c r="J163" i="94"/>
  <c r="J162" i="94"/>
  <c r="J161" i="94"/>
  <c r="J160" i="94"/>
  <c r="I159" i="94"/>
  <c r="H159" i="94"/>
  <c r="G159" i="94"/>
  <c r="F159" i="94"/>
  <c r="E159" i="94"/>
  <c r="J159" i="94" s="1"/>
  <c r="D159" i="94"/>
  <c r="C159" i="94"/>
  <c r="J158" i="94"/>
  <c r="J157" i="94"/>
  <c r="J156" i="94"/>
  <c r="J155" i="94"/>
  <c r="J154" i="94"/>
  <c r="J153" i="94"/>
  <c r="J152" i="94"/>
  <c r="J151" i="94"/>
  <c r="J150" i="94"/>
  <c r="J149" i="94"/>
  <c r="I149" i="94"/>
  <c r="G149" i="94"/>
  <c r="F149" i="94"/>
  <c r="E149" i="94"/>
  <c r="D149" i="94"/>
  <c r="C149" i="94"/>
  <c r="I145" i="94"/>
  <c r="I171" i="94" s="1"/>
  <c r="J144" i="94"/>
  <c r="J143" i="94"/>
  <c r="J139" i="94"/>
  <c r="J138" i="94"/>
  <c r="J137" i="94"/>
  <c r="J136" i="94"/>
  <c r="J135" i="94"/>
  <c r="J134" i="94"/>
  <c r="J133" i="94"/>
  <c r="J132" i="94"/>
  <c r="J131" i="94"/>
  <c r="J130" i="94" s="1"/>
  <c r="I130" i="94"/>
  <c r="H130" i="94"/>
  <c r="G130" i="94"/>
  <c r="F130" i="94"/>
  <c r="E130" i="94"/>
  <c r="D130" i="94"/>
  <c r="C130" i="94"/>
  <c r="J129" i="94"/>
  <c r="J128" i="94"/>
  <c r="J29" i="94"/>
  <c r="J28" i="94"/>
  <c r="J27" i="94"/>
  <c r="J26" i="94"/>
  <c r="J25" i="94"/>
  <c r="J24" i="94"/>
  <c r="J23" i="94"/>
  <c r="J22" i="94" s="1"/>
  <c r="I22" i="94"/>
  <c r="H22" i="94"/>
  <c r="G22" i="94"/>
  <c r="G145" i="94" s="1"/>
  <c r="G171" i="94" s="1"/>
  <c r="F22" i="94"/>
  <c r="F145" i="94" s="1"/>
  <c r="F171" i="94" s="1"/>
  <c r="E22" i="94"/>
  <c r="E145" i="94" s="1"/>
  <c r="E171" i="94" s="1"/>
  <c r="D22" i="94"/>
  <c r="D145" i="94" s="1"/>
  <c r="D171" i="94" s="1"/>
  <c r="C22" i="94"/>
  <c r="C145" i="94" s="1"/>
  <c r="C171" i="94" s="1"/>
  <c r="J18" i="94"/>
  <c r="J10" i="94"/>
  <c r="A10" i="94"/>
  <c r="J145" i="94" l="1"/>
  <c r="J171" i="94"/>
  <c r="I52" i="61" l="1"/>
  <c r="H52" i="61"/>
  <c r="G52" i="61"/>
  <c r="F52" i="61"/>
  <c r="E52" i="61"/>
  <c r="D52" i="61"/>
  <c r="K59" i="61"/>
  <c r="K30" i="61"/>
  <c r="I23" i="61"/>
  <c r="H23" i="61"/>
  <c r="G23" i="61"/>
  <c r="F23" i="61"/>
  <c r="E23" i="61"/>
  <c r="D23" i="61"/>
  <c r="K23" i="61" l="1"/>
  <c r="H15" i="81"/>
  <c r="F15" i="81"/>
  <c r="H40" i="74"/>
  <c r="F40" i="74"/>
  <c r="I15" i="73"/>
  <c r="G15" i="73"/>
  <c r="H15" i="70"/>
  <c r="F15" i="70"/>
  <c r="H15" i="86"/>
  <c r="F15" i="86"/>
  <c r="H15" i="89"/>
  <c r="F15" i="89"/>
  <c r="E41" i="2" l="1"/>
  <c r="D41" i="2"/>
  <c r="E38" i="63"/>
  <c r="E79" i="63" s="1"/>
  <c r="D38" i="63"/>
  <c r="D79" i="63" s="1"/>
  <c r="C38" i="80" l="1"/>
  <c r="C36" i="80"/>
  <c r="C34" i="80"/>
  <c r="C32" i="80"/>
  <c r="C30" i="80"/>
  <c r="C28" i="80"/>
  <c r="C26" i="80"/>
  <c r="C22" i="80"/>
  <c r="C31" i="78"/>
  <c r="C29" i="78"/>
  <c r="C27" i="78"/>
  <c r="C25" i="78"/>
  <c r="C23" i="78"/>
  <c r="C21" i="78"/>
  <c r="C19" i="78"/>
  <c r="C17" i="78"/>
  <c r="F25" i="81"/>
  <c r="A21" i="81"/>
  <c r="G17" i="78"/>
  <c r="F17" i="78"/>
  <c r="E17" i="78"/>
  <c r="D17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17" i="78" l="1"/>
  <c r="CG24" i="93" l="1"/>
  <c r="CG23" i="93"/>
  <c r="CN10" i="93"/>
  <c r="CN8" i="93"/>
  <c r="CN7" i="93"/>
  <c r="CN6" i="93"/>
  <c r="B30" i="93"/>
  <c r="B20" i="93"/>
  <c r="B14" i="93"/>
  <c r="B11" i="93"/>
  <c r="B9" i="93"/>
  <c r="Q6" i="93"/>
  <c r="D97" i="63" l="1"/>
  <c r="H78" i="61"/>
  <c r="D73" i="2"/>
  <c r="D176" i="91"/>
  <c r="B93" i="63" l="1"/>
  <c r="B78" i="61"/>
  <c r="B69" i="2"/>
  <c r="B172" i="91"/>
  <c r="I70" i="61" l="1"/>
  <c r="H70" i="61"/>
  <c r="G70" i="61"/>
  <c r="G76" i="61" s="1"/>
  <c r="F70" i="61"/>
  <c r="E70" i="61"/>
  <c r="D70" i="61"/>
  <c r="E76" i="61"/>
  <c r="D76" i="61"/>
  <c r="E33" i="61"/>
  <c r="F33" i="61"/>
  <c r="G33" i="61"/>
  <c r="H33" i="61"/>
  <c r="I33" i="61"/>
  <c r="I39" i="61" s="1"/>
  <c r="D33" i="61"/>
  <c r="G39" i="61"/>
  <c r="H76" i="61" l="1"/>
  <c r="H39" i="61"/>
  <c r="F39" i="61"/>
  <c r="E39" i="61"/>
  <c r="D39" i="61"/>
  <c r="I76" i="61"/>
  <c r="F76" i="61"/>
  <c r="K75" i="61"/>
  <c r="K74" i="61"/>
  <c r="K73" i="61"/>
  <c r="K72" i="61"/>
  <c r="K71" i="61"/>
  <c r="K70" i="61"/>
  <c r="K69" i="61"/>
  <c r="K58" i="61"/>
  <c r="K57" i="61"/>
  <c r="K56" i="61"/>
  <c r="K55" i="61"/>
  <c r="K54" i="61"/>
  <c r="K52" i="61"/>
  <c r="K51" i="61"/>
  <c r="K50" i="61"/>
  <c r="K49" i="61"/>
  <c r="K48" i="61"/>
  <c r="K45" i="61"/>
  <c r="K44" i="61"/>
  <c r="K43" i="61"/>
  <c r="K38" i="61"/>
  <c r="K37" i="61"/>
  <c r="K36" i="61"/>
  <c r="K35" i="61"/>
  <c r="K34" i="61"/>
  <c r="K33" i="61"/>
  <c r="K32" i="61"/>
  <c r="K29" i="61"/>
  <c r="K28" i="61"/>
  <c r="K27" i="61"/>
  <c r="K26" i="61"/>
  <c r="K25" i="61"/>
  <c r="K22" i="61"/>
  <c r="K21" i="61"/>
  <c r="K20" i="61"/>
  <c r="K19" i="61"/>
  <c r="K18" i="61"/>
  <c r="K17" i="61"/>
  <c r="K16" i="61"/>
  <c r="K76" i="61" l="1"/>
  <c r="K39" i="61"/>
  <c r="F17" i="91"/>
  <c r="E17" i="91"/>
  <c r="D17" i="91"/>
  <c r="D89" i="91" s="1"/>
  <c r="A2" i="91"/>
  <c r="E47" i="91" l="1"/>
  <c r="E89" i="91"/>
  <c r="F47" i="91"/>
  <c r="F89" i="91"/>
  <c r="D47" i="91"/>
  <c r="K23" i="74" l="1"/>
  <c r="K22" i="74"/>
  <c r="K35" i="71" l="1"/>
  <c r="L35" i="71"/>
  <c r="K36" i="71"/>
  <c r="L36" i="71"/>
  <c r="K23" i="71"/>
  <c r="L23" i="71"/>
  <c r="K22" i="71"/>
  <c r="L22" i="71"/>
  <c r="L43" i="71" s="1"/>
  <c r="K43" i="71" l="1"/>
  <c r="K44" i="71"/>
  <c r="L44" i="71"/>
  <c r="K29" i="80"/>
  <c r="K30" i="80"/>
  <c r="M40" i="71" l="1"/>
  <c r="N40" i="71"/>
  <c r="M41" i="71"/>
  <c r="N41" i="71"/>
  <c r="M42" i="71"/>
  <c r="N42" i="71"/>
  <c r="N39" i="71"/>
  <c r="M39" i="71"/>
  <c r="M26" i="71"/>
  <c r="N26" i="71"/>
  <c r="M27" i="71"/>
  <c r="N27" i="71"/>
  <c r="M28" i="71"/>
  <c r="N28" i="71"/>
  <c r="M29" i="71"/>
  <c r="N29" i="71"/>
  <c r="M30" i="71"/>
  <c r="N30" i="71"/>
  <c r="M31" i="71"/>
  <c r="N31" i="71"/>
  <c r="M32" i="71"/>
  <c r="N32" i="71"/>
  <c r="M33" i="71"/>
  <c r="N33" i="71"/>
  <c r="M34" i="71"/>
  <c r="N34" i="71"/>
  <c r="N25" i="71"/>
  <c r="M25" i="71"/>
  <c r="O11" i="85" l="1"/>
  <c r="O26" i="80" l="1"/>
  <c r="O27" i="80"/>
  <c r="O28" i="80"/>
  <c r="O31" i="80"/>
  <c r="O32" i="80"/>
  <c r="O33" i="80"/>
  <c r="O34" i="80"/>
  <c r="O35" i="80"/>
  <c r="O36" i="80"/>
  <c r="O37" i="80"/>
  <c r="O38" i="80"/>
  <c r="O25" i="80"/>
  <c r="N26" i="80"/>
  <c r="N27" i="80"/>
  <c r="N28" i="80"/>
  <c r="N31" i="80"/>
  <c r="N32" i="80"/>
  <c r="N33" i="80"/>
  <c r="N34" i="80"/>
  <c r="N35" i="80"/>
  <c r="N36" i="80"/>
  <c r="N37" i="80"/>
  <c r="N38" i="80"/>
  <c r="N25" i="80"/>
  <c r="M26" i="74"/>
  <c r="M29" i="74"/>
  <c r="M30" i="74"/>
  <c r="M31" i="74"/>
  <c r="M32" i="74"/>
  <c r="M33" i="74"/>
  <c r="M34" i="74"/>
  <c r="M25" i="74"/>
  <c r="O12" i="85"/>
  <c r="O13" i="85"/>
  <c r="O14" i="85"/>
  <c r="O15" i="85"/>
  <c r="O16" i="85"/>
  <c r="O17" i="85"/>
  <c r="O18" i="85"/>
  <c r="O19" i="85"/>
  <c r="O20" i="85"/>
  <c r="O21" i="85"/>
  <c r="O22" i="85"/>
  <c r="O23" i="85"/>
  <c r="O24" i="85"/>
  <c r="O25" i="85"/>
  <c r="O26" i="85"/>
  <c r="O27" i="85"/>
  <c r="O28" i="85"/>
  <c r="O29" i="85"/>
  <c r="O30" i="85"/>
  <c r="O31" i="85"/>
  <c r="N12" i="85"/>
  <c r="N13" i="85"/>
  <c r="N14" i="85"/>
  <c r="N15" i="85"/>
  <c r="N16" i="85"/>
  <c r="N17" i="85"/>
  <c r="N18" i="85"/>
  <c r="N19" i="85"/>
  <c r="N20" i="85"/>
  <c r="N21" i="85"/>
  <c r="N22" i="85"/>
  <c r="N23" i="85"/>
  <c r="N24" i="85"/>
  <c r="N25" i="85"/>
  <c r="N26" i="85"/>
  <c r="N27" i="85"/>
  <c r="N28" i="85"/>
  <c r="N29" i="85"/>
  <c r="N30" i="85"/>
  <c r="N31" i="85"/>
  <c r="N11" i="85"/>
  <c r="N24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5" i="65"/>
  <c r="O46" i="65"/>
  <c r="O25" i="65"/>
  <c r="O24" i="65"/>
  <c r="O48" i="68" l="1"/>
  <c r="N48" i="68"/>
  <c r="O40" i="68"/>
  <c r="O41" i="68"/>
  <c r="O42" i="68"/>
  <c r="O43" i="68"/>
  <c r="O44" i="68"/>
  <c r="O45" i="68"/>
  <c r="O46" i="68"/>
  <c r="O47" i="68"/>
  <c r="O39" i="68"/>
  <c r="N40" i="68"/>
  <c r="N41" i="68"/>
  <c r="N42" i="68"/>
  <c r="N43" i="68"/>
  <c r="N44" i="68"/>
  <c r="N45" i="68"/>
  <c r="N46" i="68"/>
  <c r="N47" i="68"/>
  <c r="N39" i="68"/>
  <c r="O26" i="68"/>
  <c r="O27" i="68"/>
  <c r="O28" i="68"/>
  <c r="O29" i="68"/>
  <c r="O30" i="68"/>
  <c r="O31" i="68"/>
  <c r="O32" i="68"/>
  <c r="O33" i="68"/>
  <c r="O34" i="68"/>
  <c r="O25" i="68"/>
  <c r="N26" i="68"/>
  <c r="N27" i="68"/>
  <c r="N28" i="68"/>
  <c r="N29" i="68"/>
  <c r="N30" i="68"/>
  <c r="N31" i="68"/>
  <c r="N32" i="68"/>
  <c r="N33" i="68"/>
  <c r="N34" i="68"/>
  <c r="N25" i="68" l="1"/>
  <c r="F30" i="80" l="1"/>
  <c r="F29" i="80"/>
  <c r="F22" i="80"/>
  <c r="F21" i="80"/>
  <c r="F9" i="85" l="1"/>
  <c r="F8" i="85"/>
  <c r="G22" i="65"/>
  <c r="G21" i="65"/>
  <c r="L34" i="74" l="1"/>
  <c r="L33" i="74"/>
  <c r="L32" i="74"/>
  <c r="L31" i="74"/>
  <c r="L30" i="74"/>
  <c r="L29" i="74"/>
  <c r="L26" i="74"/>
  <c r="L25" i="74"/>
  <c r="J23" i="74"/>
  <c r="I23" i="74"/>
  <c r="H23" i="74"/>
  <c r="G23" i="74"/>
  <c r="F23" i="74"/>
  <c r="E23" i="74"/>
  <c r="D23" i="74"/>
  <c r="J22" i="74"/>
  <c r="I22" i="74"/>
  <c r="H22" i="74"/>
  <c r="G22" i="74"/>
  <c r="F22" i="74"/>
  <c r="E22" i="74"/>
  <c r="D22" i="74"/>
  <c r="L23" i="74" l="1"/>
  <c r="M22" i="74"/>
  <c r="M23" i="74"/>
  <c r="L22" i="74"/>
  <c r="M22" i="65"/>
  <c r="M21" i="65"/>
  <c r="L22" i="65"/>
  <c r="L21" i="65"/>
  <c r="K21" i="65"/>
  <c r="E21" i="80" l="1"/>
  <c r="G21" i="80"/>
  <c r="H21" i="80"/>
  <c r="I21" i="80"/>
  <c r="J21" i="80"/>
  <c r="K21" i="80"/>
  <c r="L21" i="80"/>
  <c r="M21" i="80"/>
  <c r="E22" i="80"/>
  <c r="G22" i="80"/>
  <c r="H22" i="80"/>
  <c r="I22" i="80"/>
  <c r="J22" i="80"/>
  <c r="K22" i="80"/>
  <c r="L22" i="80"/>
  <c r="M22" i="80"/>
  <c r="E16" i="78"/>
  <c r="F16" i="78"/>
  <c r="G16" i="78"/>
  <c r="D16" i="78"/>
  <c r="E23" i="71"/>
  <c r="F23" i="71"/>
  <c r="G23" i="71"/>
  <c r="H23" i="71"/>
  <c r="I23" i="71"/>
  <c r="J23" i="71"/>
  <c r="D23" i="71"/>
  <c r="E22" i="71"/>
  <c r="F22" i="71"/>
  <c r="G22" i="71"/>
  <c r="H22" i="71"/>
  <c r="I22" i="71"/>
  <c r="J22" i="71"/>
  <c r="D22" i="71"/>
  <c r="E18" i="89"/>
  <c r="F18" i="89"/>
  <c r="G18" i="89"/>
  <c r="H18" i="89"/>
  <c r="I18" i="89"/>
  <c r="D18" i="89"/>
  <c r="M23" i="71" l="1"/>
  <c r="N23" i="71"/>
  <c r="P31" i="88"/>
  <c r="Q31" i="88"/>
  <c r="P32" i="88"/>
  <c r="Q32" i="88"/>
  <c r="P33" i="88"/>
  <c r="Q33" i="88"/>
  <c r="P25" i="88"/>
  <c r="Q25" i="88"/>
  <c r="P26" i="88"/>
  <c r="Q26" i="88"/>
  <c r="P27" i="88"/>
  <c r="Q27" i="88"/>
  <c r="P28" i="88"/>
  <c r="Q28" i="88"/>
  <c r="P29" i="88"/>
  <c r="Q29" i="88"/>
  <c r="P30" i="88"/>
  <c r="Q30" i="88"/>
  <c r="Q24" i="88"/>
  <c r="P24" i="88"/>
  <c r="E21" i="88"/>
  <c r="G21" i="88"/>
  <c r="H21" i="88"/>
  <c r="I21" i="88"/>
  <c r="J21" i="88"/>
  <c r="K21" i="88"/>
  <c r="L21" i="88"/>
  <c r="M21" i="88"/>
  <c r="N21" i="88"/>
  <c r="O21" i="88"/>
  <c r="E20" i="88"/>
  <c r="G20" i="88"/>
  <c r="H20" i="88"/>
  <c r="I20" i="88"/>
  <c r="J20" i="88"/>
  <c r="K20" i="88"/>
  <c r="L20" i="88"/>
  <c r="M20" i="88"/>
  <c r="N20" i="88"/>
  <c r="O20" i="88"/>
  <c r="D21" i="88"/>
  <c r="D20" i="88"/>
  <c r="K36" i="68"/>
  <c r="K35" i="68"/>
  <c r="K22" i="68"/>
  <c r="K21" i="68"/>
  <c r="E9" i="85"/>
  <c r="G9" i="85"/>
  <c r="H9" i="85"/>
  <c r="I9" i="85"/>
  <c r="J9" i="85"/>
  <c r="K9" i="85"/>
  <c r="L9" i="85"/>
  <c r="M9" i="85"/>
  <c r="D9" i="85"/>
  <c r="E8" i="85"/>
  <c r="G8" i="85"/>
  <c r="H8" i="85"/>
  <c r="I8" i="85"/>
  <c r="J8" i="85"/>
  <c r="K8" i="85"/>
  <c r="L8" i="85"/>
  <c r="M8" i="85"/>
  <c r="D8" i="85"/>
  <c r="F21" i="65"/>
  <c r="P20" i="88" l="1"/>
  <c r="P21" i="88"/>
  <c r="N9" i="85"/>
  <c r="O9" i="85"/>
  <c r="N8" i="85"/>
  <c r="O8" i="85"/>
  <c r="Q21" i="88"/>
  <c r="Q20" i="88"/>
  <c r="D16" i="60" l="1"/>
  <c r="E9" i="63"/>
  <c r="E13" i="63"/>
  <c r="K12" i="61"/>
  <c r="K8" i="61"/>
  <c r="M30" i="80"/>
  <c r="L30" i="80"/>
  <c r="J30" i="80"/>
  <c r="I30" i="80"/>
  <c r="H30" i="80"/>
  <c r="G30" i="80"/>
  <c r="E30" i="80"/>
  <c r="D30" i="80"/>
  <c r="M29" i="80"/>
  <c r="L29" i="80"/>
  <c r="J29" i="80"/>
  <c r="I29" i="80"/>
  <c r="H29" i="80"/>
  <c r="G29" i="80"/>
  <c r="E29" i="80"/>
  <c r="D29" i="80"/>
  <c r="O22" i="80"/>
  <c r="D22" i="80"/>
  <c r="D21" i="80"/>
  <c r="H41" i="74"/>
  <c r="F41" i="74"/>
  <c r="D41" i="74"/>
  <c r="I23" i="73"/>
  <c r="G23" i="73"/>
  <c r="E23" i="73"/>
  <c r="I17" i="73"/>
  <c r="G17" i="73"/>
  <c r="E17" i="73"/>
  <c r="J36" i="71"/>
  <c r="I36" i="71"/>
  <c r="H36" i="71"/>
  <c r="G36" i="71"/>
  <c r="F36" i="71"/>
  <c r="E36" i="71"/>
  <c r="D36" i="71"/>
  <c r="J35" i="71"/>
  <c r="I35" i="71"/>
  <c r="H35" i="71"/>
  <c r="G35" i="71"/>
  <c r="F35" i="71"/>
  <c r="E35" i="71"/>
  <c r="D35" i="71"/>
  <c r="N38" i="71"/>
  <c r="M38" i="71"/>
  <c r="N22" i="71"/>
  <c r="M22" i="71"/>
  <c r="M36" i="68"/>
  <c r="L36" i="68"/>
  <c r="J36" i="68"/>
  <c r="I36" i="68"/>
  <c r="H36" i="68"/>
  <c r="G36" i="68"/>
  <c r="E36" i="68"/>
  <c r="D36" i="68"/>
  <c r="M35" i="68"/>
  <c r="L35" i="68"/>
  <c r="J35" i="68"/>
  <c r="I35" i="68"/>
  <c r="H35" i="68"/>
  <c r="G35" i="68"/>
  <c r="E35" i="68"/>
  <c r="D35" i="68"/>
  <c r="F24" i="68"/>
  <c r="M22" i="68"/>
  <c r="L22" i="68"/>
  <c r="J22" i="68"/>
  <c r="I22" i="68"/>
  <c r="H22" i="68"/>
  <c r="G22" i="68"/>
  <c r="E22" i="68"/>
  <c r="D22" i="68"/>
  <c r="M21" i="68"/>
  <c r="L21" i="68"/>
  <c r="J21" i="68"/>
  <c r="I21" i="68"/>
  <c r="H21" i="68"/>
  <c r="G21" i="68"/>
  <c r="E21" i="68"/>
  <c r="D21" i="68"/>
  <c r="N46" i="65"/>
  <c r="N45" i="65"/>
  <c r="N42" i="65"/>
  <c r="N41" i="65"/>
  <c r="N40" i="65"/>
  <c r="N39" i="65"/>
  <c r="N38" i="65"/>
  <c r="N37" i="65"/>
  <c r="N36" i="65"/>
  <c r="N35" i="65"/>
  <c r="N34" i="65"/>
  <c r="N33" i="65"/>
  <c r="N32" i="65"/>
  <c r="N31" i="65"/>
  <c r="N30" i="65"/>
  <c r="N29" i="65"/>
  <c r="N28" i="65"/>
  <c r="N27" i="65"/>
  <c r="N26" i="65"/>
  <c r="N25" i="65"/>
  <c r="K22" i="65"/>
  <c r="J22" i="65"/>
  <c r="I22" i="65"/>
  <c r="H22" i="65"/>
  <c r="F22" i="65"/>
  <c r="E22" i="65"/>
  <c r="D22" i="65"/>
  <c r="J21" i="65"/>
  <c r="I21" i="65"/>
  <c r="H21" i="65"/>
  <c r="D21" i="65"/>
  <c r="E77" i="2"/>
  <c r="D77" i="2"/>
  <c r="E11" i="2"/>
  <c r="E7" i="2"/>
  <c r="J7" i="94" l="1"/>
  <c r="E4" i="91"/>
  <c r="N21" i="65"/>
  <c r="O21" i="65"/>
  <c r="N29" i="80"/>
  <c r="O22" i="65"/>
  <c r="O29" i="80"/>
  <c r="O30" i="80"/>
  <c r="N30" i="80"/>
  <c r="N22" i="65"/>
  <c r="N21" i="80"/>
  <c r="O21" i="80"/>
  <c r="N22" i="80"/>
  <c r="N36" i="71"/>
  <c r="F43" i="71"/>
  <c r="M35" i="71"/>
  <c r="N35" i="71"/>
  <c r="E44" i="71"/>
  <c r="G43" i="71"/>
  <c r="F22" i="68"/>
  <c r="D43" i="71"/>
  <c r="N22" i="68"/>
  <c r="E43" i="71"/>
  <c r="F44" i="71"/>
  <c r="H16" i="78"/>
  <c r="J43" i="71"/>
  <c r="G44" i="71"/>
  <c r="D44" i="71"/>
  <c r="M36" i="71"/>
  <c r="J44" i="71"/>
  <c r="H43" i="71"/>
  <c r="O22" i="68"/>
  <c r="F21" i="68"/>
  <c r="O36" i="68"/>
  <c r="F36" i="68"/>
  <c r="N36" i="68"/>
  <c r="N21" i="68"/>
  <c r="O21" i="68"/>
  <c r="F35" i="68"/>
  <c r="I43" i="71"/>
  <c r="H44" i="71"/>
  <c r="I44" i="71"/>
  <c r="O35" i="68"/>
  <c r="N35" i="68"/>
  <c r="K7" i="61"/>
  <c r="E6" i="2"/>
  <c r="E8" i="63"/>
  <c r="N43" i="71" l="1"/>
  <c r="M43" i="71"/>
  <c r="N44" i="71"/>
  <c r="M44" i="71"/>
</calcChain>
</file>

<file path=xl/comments1.xml><?xml version="1.0" encoding="utf-8"?>
<comments xmlns="http://schemas.openxmlformats.org/spreadsheetml/2006/main">
  <authors>
    <author xml:space="preserve"> </author>
  </authors>
  <commentList>
    <comment ref="D4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Заполняется непосредственно перед экспортом заполненного текущего файла в формат XML.
         Имя файла обмена указывается без расширения ".xml" и должно иметь следующий вид :
      R_Т_A_K_О_GGGGMMDD_N, где:
      R_Т – префикс, принимающий значение NO_BUHOTCH;
      A_K – идентификатор получателя информации, где: A – идентификатор получателя, которому направляется файл обмена, K – идентификатор конечного получателя, для которого предназначена информация из данного файла обмена . Каждый из идентификаторов (A и K) имеет вид для налоговых органов – четырехразрядный код (код налогового органа в соответствии с классификатором «Система обозначения налоговых органов» (СОНО);
      О – идентификатор отправителя информации, имеет вид:
для организаций - девятнадцатиразрядный код (идентификационный номер налогоплательщика (далее - ИНН) и код причины постановки на учет (далее - КПП) организации (обособленного подразделения
      GGGG – год формирования передаваемого файла, MM – месяц, DD – день;
      N – идентификационный номер файла (длина – от 1 до 36 знаков. Идентификационный номер файла должен обеспечивать уникальность файла).
Расширение имени файла – xml. Расширение имени файла может указываться как строчными, так и прописными буквами
</t>
        </r>
      </text>
    </comment>
    <comment ref="B7" authorId="0" shapeId="0">
      <text>
        <r>
          <rPr>
            <b/>
            <sz val="8"/>
            <color indexed="81"/>
            <rFont val="Tahoma"/>
            <family val="2"/>
            <charset val="204"/>
          </rPr>
          <t>Код ФНС (4 цифры), которому направляется файл</t>
        </r>
      </text>
    </comment>
    <comment ref="D7" authorId="0" shapeId="0">
      <text>
        <r>
          <rPr>
            <b/>
            <sz val="8"/>
            <color indexed="81"/>
            <rFont val="Tahoma"/>
            <family val="2"/>
            <charset val="204"/>
          </rPr>
          <t>"А" и "К" могут совпадать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Код ФНС (4 цифры), для которого предназначена информация
(Может совпадать с А)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A15" authorId="0" shapeId="0">
      <text>
        <r>
          <rPr>
            <sz val="12"/>
            <color indexed="81"/>
            <rFont val="Tahoma"/>
            <family val="2"/>
            <charset val="204"/>
          </rPr>
          <t>В табличном пояснении 2.1 «Наличие и движение основных средств» допустимо (с учетом существенности) приведение иных групп основных средств, отличных от модельных, в случае, если раскрытие информации в разрезе таких иных групп основных средств является более уместным и полезным для пользователей бухгалтерской (финансовой) отчетности.</t>
        </r>
      </text>
    </comment>
  </commentList>
</comments>
</file>

<file path=xl/comments3.xml><?xml version="1.0" encoding="utf-8"?>
<comments xmlns="http://schemas.openxmlformats.org/spreadsheetml/2006/main">
  <authors>
    <author>Windows User</author>
  </authors>
  <commentList>
    <comment ref="B38" authorId="0" shapeId="0">
      <text>
        <r>
          <rPr>
            <sz val="12"/>
            <color indexed="81"/>
            <rFont val="Tahoma"/>
            <family val="2"/>
            <charset val="204"/>
          </rPr>
          <t>В состав показателей табличного пояснения 4.2 «Запасы, в отношении которых имеются ограничения имущественных прав» включается стоимость неоплаченных запасов в случае, если договором предусмотрено условие, согласно которому с момента передачи товара покупателю и до его оплаты товар, проданный в кредит, признается находящимся в залоге у продавца (п. 5 ст. 488 ГК РФ).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Windows User</author>
  </authors>
  <commentList>
    <comment ref="A13" authorId="0" shapeId="0">
      <text>
        <r>
          <rPr>
            <sz val="12"/>
            <color indexed="81"/>
            <rFont val="Tahoma"/>
            <family val="2"/>
            <charset val="204"/>
          </rPr>
          <t>В случае если организация осуществляет торговую деятельность, табличное пояснение 5 «Затраты на производство» может быть дополнено (с учетом существенности) показателями, раскрывающими особенности ведения такой деятельности.</t>
        </r>
      </text>
    </comment>
  </commentList>
</comments>
</file>

<file path=xl/sharedStrings.xml><?xml version="1.0" encoding="utf-8"?>
<sst xmlns="http://schemas.openxmlformats.org/spreadsheetml/2006/main" count="2351" uniqueCount="1180">
  <si>
    <t>Наименование показателя</t>
  </si>
  <si>
    <t>прочие</t>
  </si>
  <si>
    <t>инвестиции в дочерние общества</t>
  </si>
  <si>
    <t>инвестиции в зависимые общества</t>
  </si>
  <si>
    <t>инвестиции в другие организации</t>
  </si>
  <si>
    <t>сырье, материалы и другие аналогичные ценности</t>
  </si>
  <si>
    <t>затраты в незавершенном производстве</t>
  </si>
  <si>
    <t>покупатели и заказчики</t>
  </si>
  <si>
    <t>авансы выданные</t>
  </si>
  <si>
    <t>прочие дебиторы</t>
  </si>
  <si>
    <t>поставщики и подрядчики</t>
  </si>
  <si>
    <t>авансы полученные</t>
  </si>
  <si>
    <t>Коды</t>
  </si>
  <si>
    <t>0710001</t>
  </si>
  <si>
    <t>Единица измерения: тыс.руб.</t>
  </si>
  <si>
    <t xml:space="preserve">Б у х г а л т е р с к и й    б а л а н с </t>
  </si>
  <si>
    <t>Пояс-нения</t>
  </si>
  <si>
    <t>АКТИВ</t>
  </si>
  <si>
    <t xml:space="preserve"> I. ВНЕОБОРОТНЫЕ АКТИВЫ </t>
  </si>
  <si>
    <t>1111</t>
  </si>
  <si>
    <t>1119</t>
  </si>
  <si>
    <t>1130</t>
  </si>
  <si>
    <t>1140</t>
  </si>
  <si>
    <t>1150</t>
  </si>
  <si>
    <t>1151</t>
  </si>
  <si>
    <t>1152</t>
  </si>
  <si>
    <t>1153</t>
  </si>
  <si>
    <t>Отложенные налоговые активы</t>
  </si>
  <si>
    <t>1160</t>
  </si>
  <si>
    <t>1170</t>
  </si>
  <si>
    <t>1171</t>
  </si>
  <si>
    <t>1172</t>
  </si>
  <si>
    <t>Итого по разделу I</t>
  </si>
  <si>
    <t>1100</t>
  </si>
  <si>
    <t xml:space="preserve">II. ОБОРОТНЫЕ АКТИВЫ  </t>
  </si>
  <si>
    <t>1210</t>
  </si>
  <si>
    <t>1211</t>
  </si>
  <si>
    <t>1213</t>
  </si>
  <si>
    <t>1214</t>
  </si>
  <si>
    <t>1215</t>
  </si>
  <si>
    <t>Налог на добавленную стоимость по приобретенным ценностям</t>
  </si>
  <si>
    <t>1220</t>
  </si>
  <si>
    <t>1230</t>
  </si>
  <si>
    <t>1232</t>
  </si>
  <si>
    <t>1233</t>
  </si>
  <si>
    <t>1239</t>
  </si>
  <si>
    <t>1240</t>
  </si>
  <si>
    <t>1241</t>
  </si>
  <si>
    <t>1250</t>
  </si>
  <si>
    <t>1251</t>
  </si>
  <si>
    <t>расчетные счета</t>
  </si>
  <si>
    <t>1252</t>
  </si>
  <si>
    <t>валютные счета</t>
  </si>
  <si>
    <t>прочие денежные средства и их эквиваленты</t>
  </si>
  <si>
    <t>1259</t>
  </si>
  <si>
    <t>1260</t>
  </si>
  <si>
    <t>Итого по разделу II</t>
  </si>
  <si>
    <t>1200</t>
  </si>
  <si>
    <t>1600</t>
  </si>
  <si>
    <t>ПАССИВ</t>
  </si>
  <si>
    <t>1310</t>
  </si>
  <si>
    <t>1320</t>
  </si>
  <si>
    <t>1340</t>
  </si>
  <si>
    <t>1350</t>
  </si>
  <si>
    <t>Резервный капитал</t>
  </si>
  <si>
    <t>1360</t>
  </si>
  <si>
    <t>Нераспределенная прибыль (непокрытый убыток)</t>
  </si>
  <si>
    <t>1370</t>
  </si>
  <si>
    <t>Итого по разделу III</t>
  </si>
  <si>
    <t>1300</t>
  </si>
  <si>
    <t>IV. ДОЛГОСРОЧНЫЕ ОБЯЗАТЕЛЬСТВА</t>
  </si>
  <si>
    <t>1410</t>
  </si>
  <si>
    <t>1411</t>
  </si>
  <si>
    <t>1412</t>
  </si>
  <si>
    <t>Отложенные налоговые обязательства</t>
  </si>
  <si>
    <t>1420</t>
  </si>
  <si>
    <t>1430</t>
  </si>
  <si>
    <t>1450</t>
  </si>
  <si>
    <t>1451</t>
  </si>
  <si>
    <t>Итого по разделу IV</t>
  </si>
  <si>
    <t>1400</t>
  </si>
  <si>
    <t xml:space="preserve">V. КРАТКОСРОЧНЫЕ ОБЯЗАТЕЛЬСТВА </t>
  </si>
  <si>
    <t>1510</t>
  </si>
  <si>
    <t>1511</t>
  </si>
  <si>
    <t>1512</t>
  </si>
  <si>
    <t>текущая часть долгосрочных кредитов и займов</t>
  </si>
  <si>
    <t>1513</t>
  </si>
  <si>
    <t>1520</t>
  </si>
  <si>
    <t>1521</t>
  </si>
  <si>
    <t>1522</t>
  </si>
  <si>
    <t>1523</t>
  </si>
  <si>
    <t>задолженность по налогам и сборам</t>
  </si>
  <si>
    <t>1524</t>
  </si>
  <si>
    <t>1525</t>
  </si>
  <si>
    <t>1526</t>
  </si>
  <si>
    <t>1529</t>
  </si>
  <si>
    <t>Доходы будущих периодов</t>
  </si>
  <si>
    <t>1530</t>
  </si>
  <si>
    <t>1540</t>
  </si>
  <si>
    <t>1550</t>
  </si>
  <si>
    <t>Итого по разделу V</t>
  </si>
  <si>
    <t>1500</t>
  </si>
  <si>
    <t>1700</t>
  </si>
  <si>
    <t xml:space="preserve">  СПРАВКА  О НАЛИЧИИ ЦЕННОСТЕЙ, УЧИТЫВАЕМЫХ НА ЗАБАЛАНСОВЫХ  СЧЕТАХ</t>
  </si>
  <si>
    <t xml:space="preserve">  Наименование показателя</t>
  </si>
  <si>
    <t>Арендованные основные средства</t>
  </si>
  <si>
    <t xml:space="preserve">      в том числе по лизингу</t>
  </si>
  <si>
    <t>Ликвидированные скважины, находящиеся на лицензионных участках</t>
  </si>
  <si>
    <t xml:space="preserve">Товарно-материальные ценности,принятые на ответственное хранение </t>
  </si>
  <si>
    <t>Материалы, принятые в переработку</t>
  </si>
  <si>
    <t xml:space="preserve">Товары, принятые на комиссию </t>
  </si>
  <si>
    <t>Оборудование, принятое для монтажа</t>
  </si>
  <si>
    <t xml:space="preserve">Списанная в убыток задолженность неплатежеспособных дебиторов </t>
  </si>
  <si>
    <t>Расходы по договорам строительного подряда, понесенные за период с начала исполнения договора</t>
  </si>
  <si>
    <t xml:space="preserve">Обеспечения обязательств и платежей полученные </t>
  </si>
  <si>
    <t xml:space="preserve">Обеспечения обязательств и платежей выданные </t>
  </si>
  <si>
    <t xml:space="preserve">Износ жилищного фонда </t>
  </si>
  <si>
    <t xml:space="preserve">Износ объектов внешнего благоустройства и других аналогичных объектов </t>
  </si>
  <si>
    <t>Нематериальные активы, полученные в пользование</t>
  </si>
  <si>
    <t>Стоимость выручки по экспортным контрактам, переданная в залог</t>
  </si>
  <si>
    <t>0710002</t>
  </si>
  <si>
    <t>Валовая прибыль (убыток)</t>
  </si>
  <si>
    <t>Коммерческие расходы</t>
  </si>
  <si>
    <t>Управленческие расходы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</si>
  <si>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</si>
  <si>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</si>
  <si>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</si>
  <si>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</si>
  <si>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</si>
  <si>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налог на прибыль прошлых лет</t>
  </si>
  <si>
    <t>СПРАВОЧНО:</t>
  </si>
  <si>
    <t>Оценочные обязательства</t>
  </si>
  <si>
    <t xml:space="preserve"> Дата (число,месяц,год)    </t>
  </si>
  <si>
    <t>права на объекты интеллектуальной собственности</t>
  </si>
  <si>
    <t>Нематериальные поисковые активы</t>
  </si>
  <si>
    <t>Материальные поисковые активы</t>
  </si>
  <si>
    <t>1173</t>
  </si>
  <si>
    <t>1174</t>
  </si>
  <si>
    <t>1180</t>
  </si>
  <si>
    <t>1190</t>
  </si>
  <si>
    <t>1192</t>
  </si>
  <si>
    <t>Отчет о финансовых результатах</t>
  </si>
  <si>
    <t>Прочее</t>
  </si>
  <si>
    <t>Форма 0710002   с.2</t>
  </si>
  <si>
    <t>Форма 0710001   с.2</t>
  </si>
  <si>
    <t xml:space="preserve"> Единица измерения: тыс.руб.</t>
  </si>
  <si>
    <t xml:space="preserve">по ОКПО </t>
  </si>
  <si>
    <t xml:space="preserve">по ОКЕИ </t>
  </si>
  <si>
    <t>прочее</t>
  </si>
  <si>
    <t>ИНН</t>
  </si>
  <si>
    <t>ИННЮЛ</t>
  </si>
  <si>
    <t>НаимОрг</t>
  </si>
  <si>
    <t>ОКОПФ</t>
  </si>
  <si>
    <t>ОКФС</t>
  </si>
  <si>
    <t>Форма собственности (по ОКФС)</t>
  </si>
  <si>
    <t>ОКПО</t>
  </si>
  <si>
    <t>384</t>
  </si>
  <si>
    <t>ОКЕИ</t>
  </si>
  <si>
    <t>Код по ОКЕИ</t>
  </si>
  <si>
    <t>(НЕ ДЛЯ ПЕЧАТИ)</t>
  </si>
  <si>
    <t>Вычисляемые значения только для экспорта в XML-файл:</t>
  </si>
  <si>
    <t xml:space="preserve"> </t>
  </si>
  <si>
    <t>Справочники</t>
  </si>
  <si>
    <t>Всегда принимает значение: 384 – тыс. рублей</t>
  </si>
  <si>
    <t>Текстовое поле используется на листах текущего файла</t>
  </si>
  <si>
    <t>текстовое поле 2 символа</t>
  </si>
  <si>
    <t xml:space="preserve">Дата отчетности (число,месяц,год)    </t>
  </si>
  <si>
    <r>
      <t>Дата отчетности</t>
    </r>
    <r>
      <rPr>
        <sz val="9"/>
        <rFont val="MS Sans Serif"/>
        <family val="2"/>
        <charset val="204"/>
      </rPr>
      <t xml:space="preserve"> (в формате DD.MM.YYYY)</t>
    </r>
  </si>
  <si>
    <t>Прочие оборотные активы</t>
  </si>
  <si>
    <t xml:space="preserve">Общие сведения </t>
  </si>
  <si>
    <t xml:space="preserve">      В соответствии с Федеральным законом от 28.11.2018 г. № 444-ФЗ «О внесении изменений в Федеральный закон </t>
  </si>
  <si>
    <t xml:space="preserve">«О бухгалтерском учете» с 01.01.2020 вступают в силу новые правила представления организациями обязательного </t>
  </si>
  <si>
    <t xml:space="preserve">      В соответствии с новыми правилами обязательный экземпляр отчетности представляется экономическим</t>
  </si>
  <si>
    <t xml:space="preserve"> субъектом в виде электронного документа по телекоммуникационным каналам связи через оператора электронного </t>
  </si>
  <si>
    <t xml:space="preserve">документооборота, являющегося российской организацией и соответствующего требованиям, </t>
  </si>
  <si>
    <t>утверждаемым федеральным органом исполнительной власти, уполномоченным по контролю и надзору в области</t>
  </si>
  <si>
    <t>При этом форматы представления обязательного экземпляра отчетности и аудиторского заключения о ней</t>
  </si>
  <si>
    <t>в виде электронных документов, порядок представления отчетности и аудиторского заключения также утверждаются ФНС.</t>
  </si>
  <si>
    <t>экземпляра бухгалтерской (финансовой) отчетности.</t>
  </si>
  <si>
    <t>Отчетность подлежит обязательному аудиту</t>
  </si>
  <si>
    <t>ПрАудит</t>
  </si>
  <si>
    <t>ОГРН</t>
  </si>
  <si>
    <t>Принимает значение: 1 – да  | 0 – нет</t>
  </si>
  <si>
    <t xml:space="preserve">      Требования к электронному формату бухгалтерской (финансовой) отчетности изложены в Приложении №1</t>
  </si>
  <si>
    <t>форма 2</t>
  </si>
  <si>
    <t>Лист "Общие сведения" вспомогательный. Не для печати!</t>
  </si>
  <si>
    <t xml:space="preserve">      После заполнения текущего файла (отчетных форм и листа "Общие сведения")  для конвертирования этих данных из текущего</t>
  </si>
  <si>
    <t>2460+ 2465</t>
  </si>
  <si>
    <r>
      <t xml:space="preserve">EXCEL-файла в XML-файл можно воспользоваться специальным </t>
    </r>
    <r>
      <rPr>
        <b/>
        <sz val="9"/>
        <rFont val="MS Sans Serif"/>
        <family val="2"/>
        <charset val="204"/>
      </rPr>
      <t xml:space="preserve">файлом-конвертером. </t>
    </r>
    <r>
      <rPr>
        <sz val="9"/>
        <rFont val="MS Sans Serif"/>
        <family val="2"/>
        <charset val="204"/>
      </rPr>
      <t>Его применение избавит от внесения</t>
    </r>
  </si>
  <si>
    <t>данных вручную в программы, с помощью которых данные могут быть направлены в ФНС.</t>
  </si>
  <si>
    <r>
      <t xml:space="preserve">       Полученный XML-файл необходимо загрузить, </t>
    </r>
    <r>
      <rPr>
        <b/>
        <sz val="9"/>
        <rFont val="MS Sans Serif"/>
        <family val="2"/>
        <charset val="204"/>
      </rPr>
      <t>проверить и скорректировать</t>
    </r>
    <r>
      <rPr>
        <sz val="9"/>
        <rFont val="MS Sans Serif"/>
        <family val="2"/>
        <charset val="204"/>
      </rPr>
      <t xml:space="preserve">, например, в программах </t>
    </r>
  </si>
  <si>
    <t>Изменять структуру отчетных таблиц (удалять и добавлять строки и графы) запрещается, т к конвертор-XML привязан к</t>
  </si>
  <si>
    <t xml:space="preserve"> EXCEL-строкам и графам. Вместо удаления строк/граф необходимо их скрыть.</t>
  </si>
  <si>
    <t>форма 1</t>
  </si>
  <si>
    <t>2530</t>
  </si>
  <si>
    <t>2412</t>
  </si>
  <si>
    <t>2413</t>
  </si>
  <si>
    <t>2410</t>
  </si>
  <si>
    <t>2411</t>
  </si>
  <si>
    <t>КОДЫ</t>
  </si>
  <si>
    <r>
      <t xml:space="preserve">Форма по ОКУД   </t>
    </r>
    <r>
      <rPr>
        <sz val="8.5"/>
        <color indexed="10"/>
        <rFont val="MS Sans Serif"/>
        <family val="2"/>
        <charset val="204"/>
      </rPr>
      <t xml:space="preserve"> </t>
    </r>
  </si>
  <si>
    <t>форма 3</t>
  </si>
  <si>
    <t xml:space="preserve">по ОКПО     </t>
  </si>
  <si>
    <t xml:space="preserve">по ОКЕИ     </t>
  </si>
  <si>
    <t>Уставный капитал</t>
  </si>
  <si>
    <t>Итого</t>
  </si>
  <si>
    <t>Форма   0710004   с.2</t>
  </si>
  <si>
    <t>в том числе:</t>
  </si>
  <si>
    <t xml:space="preserve"> Отчет о движении денежных средств</t>
  </si>
  <si>
    <t>0710005</t>
  </si>
  <si>
    <t>форма 4</t>
  </si>
  <si>
    <t>Денежные потоки от текущих операций</t>
  </si>
  <si>
    <t>4111</t>
  </si>
  <si>
    <t>4112</t>
  </si>
  <si>
    <t>от перепродажи финансовых вложений</t>
  </si>
  <si>
    <t>4113</t>
  </si>
  <si>
    <t>прочие поступления</t>
  </si>
  <si>
    <t>4119</t>
  </si>
  <si>
    <t>4120</t>
  </si>
  <si>
    <t>4121</t>
  </si>
  <si>
    <t>в связи с оплатой труда работников</t>
  </si>
  <si>
    <t>4122</t>
  </si>
  <si>
    <t>процентов по долговым обязательствам</t>
  </si>
  <si>
    <t>4123</t>
  </si>
  <si>
    <t>налога на прибыль организаций</t>
  </si>
  <si>
    <t>4124</t>
  </si>
  <si>
    <t>прочие платежи</t>
  </si>
  <si>
    <t>4129</t>
  </si>
  <si>
    <t>Сальдо денежных потоков от текущих операций</t>
  </si>
  <si>
    <t>4100</t>
  </si>
  <si>
    <t>Форма  0710005   с.2</t>
  </si>
  <si>
    <t>Денежные потоки от инвестиционных операций</t>
  </si>
  <si>
    <t>4210</t>
  </si>
  <si>
    <t>от продажи внеоборотных активов (кроме финансовых вложений)</t>
  </si>
  <si>
    <t>4211</t>
  </si>
  <si>
    <t>от продажи акций других организаций (долей участия)</t>
  </si>
  <si>
    <t>4212</t>
  </si>
  <si>
    <t>от возврата предоставленных займов, от продажи долговых ценных бумаг (прав требования денежных средств к другим лицам)</t>
  </si>
  <si>
    <t>4213</t>
  </si>
  <si>
    <t>дивидендов, процентов по долговым финансовым вложениям и аналогичных поступлений от долевого участия в других организациях</t>
  </si>
  <si>
    <t>4214</t>
  </si>
  <si>
    <t>4219</t>
  </si>
  <si>
    <t>4220</t>
  </si>
  <si>
    <t>в связи с приобретением, созданием, модернизацией, реконструкцией и подготовкой к использованию внеоборотных активов</t>
  </si>
  <si>
    <t>4221</t>
  </si>
  <si>
    <t>в связи с приобретением акций других организаций (долей участия)</t>
  </si>
  <si>
    <t>4222</t>
  </si>
  <si>
    <t>в связи с приобретением долговых ценных бумаг (прав требования денежных средств к другим лицам), предоставление займов другим лицам</t>
  </si>
  <si>
    <t>4223</t>
  </si>
  <si>
    <t>процентов по долговым обязательствам, включаемым в стоимость инвестиционного актива</t>
  </si>
  <si>
    <t>4224</t>
  </si>
  <si>
    <t>4229</t>
  </si>
  <si>
    <t>Сальдо денежных потоков от инвестиционных операций</t>
  </si>
  <si>
    <t>4200</t>
  </si>
  <si>
    <t>Денежные потоки от финансовых операций</t>
  </si>
  <si>
    <t>4310</t>
  </si>
  <si>
    <t>получение кредитов и займов</t>
  </si>
  <si>
    <t>4311</t>
  </si>
  <si>
    <t>денежных вкладов собственников (участников)</t>
  </si>
  <si>
    <t>4312</t>
  </si>
  <si>
    <t>от выпуска акций, увеличения долей участия</t>
  </si>
  <si>
    <t>4313</t>
  </si>
  <si>
    <t>4314</t>
  </si>
  <si>
    <t>4319</t>
  </si>
  <si>
    <t>Форма  0710005   с.3</t>
  </si>
  <si>
    <t>4320</t>
  </si>
  <si>
    <t>собственникам (участникам) в связи с выкупом у них акций (долей участия) организации или их выходом из состава участников</t>
  </si>
  <si>
    <t>4321</t>
  </si>
  <si>
    <t>на уплату дивидендов и иных платежей по распределению
прибыли в пользу собственников (участников)</t>
  </si>
  <si>
    <t>в связи с погашением (выкупом) векселей и других долговых ценных бумаг, возврат кредитов и займов</t>
  </si>
  <si>
    <t>4323</t>
  </si>
  <si>
    <t>4329</t>
  </si>
  <si>
    <t>Сальдо денежных потоков от финансовых операций</t>
  </si>
  <si>
    <t>4300</t>
  </si>
  <si>
    <t>4450</t>
  </si>
  <si>
    <t>4500</t>
  </si>
  <si>
    <t>4490</t>
  </si>
  <si>
    <t>Отчет о целевом использовании средств</t>
  </si>
  <si>
    <t>Прочие</t>
  </si>
  <si>
    <t>ПОЯСНЕНИЯ К БУХГАЛТЕРСКОМУ БАЛАНСУ И ОТЧЕТУ О ФИНАНСОВЫХ РЕЗУЛЬТАТАХ</t>
  </si>
  <si>
    <r>
      <t xml:space="preserve"> Дата(число,месяц,год)     </t>
    </r>
    <r>
      <rPr>
        <sz val="1"/>
        <rFont val="MS Sans Serif"/>
        <family val="2"/>
        <charset val="204"/>
      </rPr>
      <t>.</t>
    </r>
  </si>
  <si>
    <t xml:space="preserve">Организация       </t>
  </si>
  <si>
    <r>
      <t xml:space="preserve">по ОКПО     </t>
    </r>
    <r>
      <rPr>
        <sz val="1"/>
        <rFont val="MS Sans Serif"/>
        <family val="2"/>
        <charset val="204"/>
      </rPr>
      <t>.</t>
    </r>
  </si>
  <si>
    <t>Идентификационный номер налогоплательщика</t>
  </si>
  <si>
    <r>
      <t xml:space="preserve"> ИНН    </t>
    </r>
    <r>
      <rPr>
        <sz val="1"/>
        <rFont val="MS Sans Serif"/>
        <family val="2"/>
        <charset val="204"/>
      </rPr>
      <t xml:space="preserve"> .</t>
    </r>
  </si>
  <si>
    <t xml:space="preserve">Вид экономической деятельности </t>
  </si>
  <si>
    <r>
      <t xml:space="preserve"> по ОКВЭД     </t>
    </r>
    <r>
      <rPr>
        <sz val="1"/>
        <rFont val="MS Sans Serif"/>
        <family val="2"/>
        <charset val="204"/>
      </rPr>
      <t>.</t>
    </r>
  </si>
  <si>
    <t xml:space="preserve">Организационно-правовая форма / форма собственности   </t>
  </si>
  <si>
    <r>
      <t xml:space="preserve">по ОКОПФ/ОКФС     </t>
    </r>
    <r>
      <rPr>
        <sz val="1"/>
        <rFont val="MS Sans Serif"/>
        <family val="2"/>
        <charset val="204"/>
      </rPr>
      <t xml:space="preserve"> .</t>
    </r>
  </si>
  <si>
    <r>
      <t xml:space="preserve">по ОКЕИ     </t>
    </r>
    <r>
      <rPr>
        <sz val="1"/>
        <rFont val="MS Sans Serif"/>
        <family val="2"/>
        <charset val="204"/>
      </rPr>
      <t>.</t>
    </r>
  </si>
  <si>
    <t>Местонахождение (адрес)</t>
  </si>
  <si>
    <t>с.1</t>
  </si>
  <si>
    <t>1.1 Наличие и движение нематериальных активов</t>
  </si>
  <si>
    <t>Период</t>
  </si>
  <si>
    <t>На начало года</t>
  </si>
  <si>
    <t>Изменения за период</t>
  </si>
  <si>
    <t>На конец периода</t>
  </si>
  <si>
    <t>первоначальная стоимость</t>
  </si>
  <si>
    <t>Нематериальные активы - всего</t>
  </si>
  <si>
    <t xml:space="preserve">в том числе: </t>
  </si>
  <si>
    <t xml:space="preserve">Наименование показателя </t>
  </si>
  <si>
    <t>с.2</t>
  </si>
  <si>
    <t>с.3</t>
  </si>
  <si>
    <t>с.4</t>
  </si>
  <si>
    <t>2. Основные средства</t>
  </si>
  <si>
    <t>2.1 Наличие и движение основных средств</t>
  </si>
  <si>
    <t xml:space="preserve"> в том числе:                        </t>
  </si>
  <si>
    <t>магистральные трубопроводы</t>
  </si>
  <si>
    <t>скважины</t>
  </si>
  <si>
    <t>машины и оборудование</t>
  </si>
  <si>
    <t>здания, дороги, прочие сооружения произв. назначения</t>
  </si>
  <si>
    <t>прочие ОС</t>
  </si>
  <si>
    <t>с.5</t>
  </si>
  <si>
    <t xml:space="preserve">незавершенное строительство  </t>
  </si>
  <si>
    <t>оборудование к установке</t>
  </si>
  <si>
    <t>здания и дороги</t>
  </si>
  <si>
    <r>
      <rPr>
        <sz val="8.5"/>
        <color indexed="10"/>
        <rFont val="MS Sans Serif"/>
        <family val="2"/>
        <charset val="204"/>
      </rPr>
      <t xml:space="preserve"> </t>
    </r>
    <r>
      <rPr>
        <sz val="8.5"/>
        <color indexed="9"/>
        <rFont val="MS Sans Serif"/>
        <family val="2"/>
        <charset val="204"/>
      </rPr>
      <t xml:space="preserve"> </t>
    </r>
  </si>
  <si>
    <t>с.6</t>
  </si>
  <si>
    <t xml:space="preserve">  в том числе:</t>
  </si>
  <si>
    <t>с.7</t>
  </si>
  <si>
    <t>3. Финансовые вложения</t>
  </si>
  <si>
    <t>3.1 Наличие и движение финансовых вложений</t>
  </si>
  <si>
    <t>выбыло (погашено)</t>
  </si>
  <si>
    <t>Долгосрочные финансовые вложения - всего</t>
  </si>
  <si>
    <t>Краткосрочные финансовые вложения  - всего</t>
  </si>
  <si>
    <t xml:space="preserve"> ---</t>
  </si>
  <si>
    <t>Финансовых вложений - всего</t>
  </si>
  <si>
    <t>с.8</t>
  </si>
  <si>
    <t>с.9</t>
  </si>
  <si>
    <t>3.2  Иное использование финансовых вложений</t>
  </si>
  <si>
    <t>Долгосрочные финансовые вложения, находящиеся в залоге, - всего</t>
  </si>
  <si>
    <t xml:space="preserve"> в том числе:  </t>
  </si>
  <si>
    <t>прочие долгосрочные финансовые вложения</t>
  </si>
  <si>
    <t>Долгосрочные финансовые вложения, переданные третьим лицам (кроме продажи), - всего</t>
  </si>
  <si>
    <t>4. Запасы</t>
  </si>
  <si>
    <t>4.1 Наличие и движение запасов</t>
  </si>
  <si>
    <t>Запасы - всего</t>
  </si>
  <si>
    <t>животные на выращивании и откорме</t>
  </si>
  <si>
    <t>готовая продукция и товары для перепродажи</t>
  </si>
  <si>
    <t>товары отгруженные</t>
  </si>
  <si>
    <t>с.10</t>
  </si>
  <si>
    <t>с.11</t>
  </si>
  <si>
    <t>с.12</t>
  </si>
  <si>
    <t>с.13</t>
  </si>
  <si>
    <t>Материальные затраты</t>
  </si>
  <si>
    <t>Отчисления на социальные нужды</t>
  </si>
  <si>
    <t>Амортизация</t>
  </si>
  <si>
    <t>Прочие затраты</t>
  </si>
  <si>
    <t>Итого по элементам</t>
  </si>
  <si>
    <t>Итого расходы по обычным видам деятельности</t>
  </si>
  <si>
    <t>с.14</t>
  </si>
  <si>
    <t>Остаток на начало года</t>
  </si>
  <si>
    <t>Начислено</t>
  </si>
  <si>
    <t>Использовано</t>
  </si>
  <si>
    <t>Восстановлено</t>
  </si>
  <si>
    <t>Остаток на конец периода</t>
  </si>
  <si>
    <t>Оценочные обязательства - всего</t>
  </si>
  <si>
    <t>выданные гарантийные обязательства</t>
  </si>
  <si>
    <t>судебные разбирательства</t>
  </si>
  <si>
    <t>прочие оценочные обязательства</t>
  </si>
  <si>
    <t>обязательство по оплате отпусков</t>
  </si>
  <si>
    <t>в т.ч. со сроком погашения до 1 года</t>
  </si>
  <si>
    <t>объекты основных средств</t>
  </si>
  <si>
    <t>лицензии</t>
  </si>
  <si>
    <t>Поисковые затраты, учтенные в составе нематериальных поисковых активов</t>
  </si>
  <si>
    <t>Поисковые затраты, учтенные в составе материальных поисковых активов</t>
  </si>
  <si>
    <t>Справочники и дополнительная информация.</t>
  </si>
  <si>
    <t>Лист "Справочники" вспомогательный. Не для печати!</t>
  </si>
  <si>
    <t>Комментарии для заполнения наименования XML-файла на листе "Общие сведения":</t>
  </si>
  <si>
    <r>
      <t>Имя файла XML cодержит (повторяет) имя XML-файла (</t>
    </r>
    <r>
      <rPr>
        <sz val="10"/>
        <color rgb="FFFF0000"/>
        <rFont val="Arial Cyr"/>
        <charset val="204"/>
      </rPr>
      <t>без расширения .xml</t>
    </r>
    <r>
      <rPr>
        <sz val="10"/>
        <rFont val="Arial Cyr"/>
        <charset val="204"/>
      </rPr>
      <t xml:space="preserve">), который будет сформирован в результате </t>
    </r>
  </si>
  <si>
    <t>экспорта данных из текущего файла.</t>
  </si>
  <si>
    <t>Имя файла заполняется непосредственно перед экспортом заполненного текущего файла в формат XML.</t>
  </si>
  <si>
    <t>Имя файла XML обмена должно иметь следующий вид:</t>
  </si>
  <si>
    <t>R_Т_A_K_О_GGGGMMDD_N, где:</t>
  </si>
  <si>
    <t>R_Т – префикс, принимающий значение NO_BUHOTCH;</t>
  </si>
  <si>
    <t>A_K – идентификатор получателя информации, где: A – идентификатор получателя, которому направляется файл обмена, K – идентификатор конечного получателя, для которого предназначена информация из данного файла обмена . Каждый из идентификаторов (A и K) имеет вид для налоговых органов – четырехразрядный код (код налогового органа в соответствии с классификатором «Система обозначения налоговых органов» (СОНО);</t>
  </si>
  <si>
    <t>О – идентификатор отправителя информации, имеет вид:</t>
  </si>
  <si>
    <t>для организаций - девятнадцатиразрядный код (идентификационный номер налогоплательщика (далее - ИНН) и код причины постановки на учет (далее - КПП) организации (обособленного подразделения</t>
  </si>
  <si>
    <t>GGGG – год формирования передаваемого файла, MM – месяц, DD – день;</t>
  </si>
  <si>
    <t>N – идентификационный номер файла (длина – от 1 до 36 знаков. Идентификационный номер файла должен обеспечивать уникальность файла).</t>
  </si>
  <si>
    <t>Расширение имени файла – xml. Расширение имени файла может указываться как строчными, так и прописными буквами</t>
  </si>
  <si>
    <t>Код отчетного периода на листе "Общие сведения":</t>
  </si>
  <si>
    <t>34 – год   |</t>
  </si>
  <si>
    <t>90 – год при реорганизации (ликвидации) организации (ликвидационная, заключительная отчетность)   |</t>
  </si>
  <si>
    <t>94 – год при реорганизации (ликвидации) организации (промежуточная, вступительная отчетность)</t>
  </si>
  <si>
    <t>Код позиции</t>
  </si>
  <si>
    <t>Код родительской позиции</t>
  </si>
  <si>
    <t>Форма собственности</t>
  </si>
  <si>
    <t>10</t>
  </si>
  <si>
    <t>РОССИЙСКАЯ СОБСТВЕННОСТЬ</t>
  </si>
  <si>
    <t>11</t>
  </si>
  <si>
    <t>Государственная собственность</t>
  </si>
  <si>
    <t>12</t>
  </si>
  <si>
    <t>Федеральная собственность</t>
  </si>
  <si>
    <t>13</t>
  </si>
  <si>
    <t>Собственность субъектов Российской Федерации</t>
  </si>
  <si>
    <t>14</t>
  </si>
  <si>
    <t>Муниципальная собственность</t>
  </si>
  <si>
    <t>16</t>
  </si>
  <si>
    <t>Частная собственность</t>
  </si>
  <si>
    <t>18</t>
  </si>
  <si>
    <t>Собственность российских граждан, постоянно проживающих за границей</t>
  </si>
  <si>
    <t>19</t>
  </si>
  <si>
    <t>Собственность потребительской кооперации</t>
  </si>
  <si>
    <t>15</t>
  </si>
  <si>
    <t>Собственность общественных и религиозных организаций (объединений)</t>
  </si>
  <si>
    <t>50</t>
  </si>
  <si>
    <t>Собственность благотворительных организаций</t>
  </si>
  <si>
    <t>51</t>
  </si>
  <si>
    <t>Собственность политических общественных объединений</t>
  </si>
  <si>
    <t>52</t>
  </si>
  <si>
    <t>Собственность профессиональных союзов</t>
  </si>
  <si>
    <t>53</t>
  </si>
  <si>
    <t>Собственность общественных объединений</t>
  </si>
  <si>
    <t>54</t>
  </si>
  <si>
    <t>Собственность религиозных объединений</t>
  </si>
  <si>
    <t>17</t>
  </si>
  <si>
    <t>Смешанная российская собственность</t>
  </si>
  <si>
    <t>40</t>
  </si>
  <si>
    <t>Смешанная российская собственность с долей государственной собственности</t>
  </si>
  <si>
    <t>41</t>
  </si>
  <si>
    <t>Смешанная российская собственность с долей федеральной собственности</t>
  </si>
  <si>
    <t>42</t>
  </si>
  <si>
    <t>Смешанная российская собственность с долей собственности субъектов Российской Федерации</t>
  </si>
  <si>
    <t>43</t>
  </si>
  <si>
    <t>Смешанная российская собственность с долями федеральной собственности и собственности субъектов Российской Федерации</t>
  </si>
  <si>
    <t>49</t>
  </si>
  <si>
    <t>Иная смешанная российская собственность</t>
  </si>
  <si>
    <t>20</t>
  </si>
  <si>
    <t>ИНОСТРАННАЯ СОБСТВЕННОСТЬ</t>
  </si>
  <si>
    <t>21</t>
  </si>
  <si>
    <t>Собственность международных организаций</t>
  </si>
  <si>
    <t>22</t>
  </si>
  <si>
    <t>Собственность иностранных государств</t>
  </si>
  <si>
    <t>23</t>
  </si>
  <si>
    <t>Собственность иностранных юридических лиц</t>
  </si>
  <si>
    <t>24</t>
  </si>
  <si>
    <t>Собственность иностранных граждан и лиц без гражданства</t>
  </si>
  <si>
    <t>27</t>
  </si>
  <si>
    <t>Смешанная иностранная собственность</t>
  </si>
  <si>
    <t>30</t>
  </si>
  <si>
    <t>СОВМЕСТНАЯ РОССИЙСКАЯ И ИНОСТРАННАЯ СОБСТВЕННОСТЬ</t>
  </si>
  <si>
    <t>31</t>
  </si>
  <si>
    <t>Совместная федеральная и иностранная собственность</t>
  </si>
  <si>
    <t>32</t>
  </si>
  <si>
    <t>Совместная собственность субъектов Российской Федерации и иностранная собственность</t>
  </si>
  <si>
    <t>33</t>
  </si>
  <si>
    <t>Совместная муниципальная и иностранная собственность</t>
  </si>
  <si>
    <t>34</t>
  </si>
  <si>
    <t>Совместная частная и иностранная собственность</t>
  </si>
  <si>
    <t>35</t>
  </si>
  <si>
    <t>Совместная собственность общественных и религиозных организаций (объединений) и иностранная собственность</t>
  </si>
  <si>
    <t>61</t>
  </si>
  <si>
    <t>Собственность государственных корпораций</t>
  </si>
  <si>
    <t>Коды регионов</t>
  </si>
  <si>
    <t>Код</t>
  </si>
  <si>
    <t>Наименование</t>
  </si>
  <si>
    <t>01</t>
  </si>
  <si>
    <t>Республика Адыгея</t>
  </si>
  <si>
    <t xml:space="preserve">02 </t>
  </si>
  <si>
    <t>Республика Башкортостан</t>
  </si>
  <si>
    <t>03</t>
  </si>
  <si>
    <t>Республика Бурятия</t>
  </si>
  <si>
    <t>04</t>
  </si>
  <si>
    <t>Республика Алтай (Горный Алтай)</t>
  </si>
  <si>
    <t>05</t>
  </si>
  <si>
    <t>Республика Дагестан</t>
  </si>
  <si>
    <t>06</t>
  </si>
  <si>
    <t>Республика Ингушетия</t>
  </si>
  <si>
    <t>07</t>
  </si>
  <si>
    <t>Кабардино-Балкарская Республика</t>
  </si>
  <si>
    <t>08</t>
  </si>
  <si>
    <t>Республика Калмыкия</t>
  </si>
  <si>
    <t>09</t>
  </si>
  <si>
    <t>Республика Карачаево-Черкессия</t>
  </si>
  <si>
    <t>Республика Карелия</t>
  </si>
  <si>
    <t>Республика Коми</t>
  </si>
  <si>
    <t>Республика Марий Эл</t>
  </si>
  <si>
    <t xml:space="preserve">13 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</si>
  <si>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</si>
  <si>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</si>
  <si>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</si>
  <si>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</si>
  <si>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</si>
  <si>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</si>
  <si>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</si>
  <si>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Чувашская Республика</t>
  </si>
  <si>
    <t>Алтайский край</t>
  </si>
  <si>
    <t>Краснодарский край</t>
  </si>
  <si>
    <t>Красноярский край</t>
  </si>
  <si>
    <t>25</t>
  </si>
  <si>
    <t>Приморский край</t>
  </si>
  <si>
    <t>26</t>
  </si>
  <si>
    <t>Ставропольский край</t>
  </si>
  <si>
    <t>Хабаровский край</t>
  </si>
  <si>
    <t>28</t>
  </si>
  <si>
    <t>Амурская область</t>
  </si>
  <si>
    <t>29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</si>
  <si>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</si>
  <si>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</si>
  <si>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</si>
  <si>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</si>
  <si>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</si>
  <si>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</si>
  <si>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</si>
  <si>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 xml:space="preserve">36 </t>
  </si>
  <si>
    <t>Воронежская область</t>
  </si>
  <si>
    <t>37</t>
  </si>
  <si>
    <t>Ивановская область</t>
  </si>
  <si>
    <t>38</t>
  </si>
  <si>
    <t>Иркутская область</t>
  </si>
  <si>
    <t>39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</si>
  <si>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</si>
  <si>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</si>
  <si>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</si>
  <si>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</si>
  <si>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</si>
  <si>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44</t>
  </si>
  <si>
    <t>Костромская область</t>
  </si>
  <si>
    <t>45</t>
  </si>
  <si>
    <t>Курганская область</t>
  </si>
  <si>
    <t>46</t>
  </si>
  <si>
    <t>Курская область</t>
  </si>
  <si>
    <t>47</t>
  </si>
  <si>
    <t>Ленинградская область</t>
  </si>
  <si>
    <t>48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</si>
  <si>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</si>
  <si>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</si>
  <si>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</si>
  <si>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</si>
  <si>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</si>
  <si>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</si>
  <si>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</si>
  <si>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55</t>
  </si>
  <si>
    <t>Омская область</t>
  </si>
  <si>
    <t>56</t>
  </si>
  <si>
    <t>Оренбургская область</t>
  </si>
  <si>
    <t>57</t>
  </si>
  <si>
    <t>Орловская область</t>
  </si>
  <si>
    <t>58</t>
  </si>
  <si>
    <t>Пензенская область</t>
  </si>
  <si>
    <t>59</t>
  </si>
  <si>
    <t>Пермский край</t>
  </si>
  <si>
    <t>60</t>
  </si>
  <si>
    <t>Псковская область</t>
  </si>
  <si>
    <t>Ростовская область</t>
  </si>
  <si>
    <t>62</t>
  </si>
  <si>
    <t>Рязанская область</t>
  </si>
  <si>
    <t>63</t>
  </si>
  <si>
    <t>Самарская область</t>
  </si>
  <si>
    <t>64</t>
  </si>
  <si>
    <t>Саратовская область</t>
  </si>
  <si>
    <t>65</t>
  </si>
  <si>
    <t>Сахалинская область</t>
  </si>
  <si>
    <t>66</t>
  </si>
  <si>
    <t>Свердловская область</t>
  </si>
  <si>
    <t>67</t>
  </si>
  <si>
    <t>Смоленская область</t>
  </si>
  <si>
    <t>68</t>
  </si>
  <si>
    <t>Тамбовская область</t>
  </si>
  <si>
    <t>69</t>
  </si>
  <si>
    <t>Тверская область</t>
  </si>
  <si>
    <t>70</t>
  </si>
  <si>
    <t>Томская область</t>
  </si>
  <si>
    <t>71</t>
  </si>
  <si>
    <t>Тульская область</t>
  </si>
  <si>
    <t>72</t>
  </si>
  <si>
    <t>Тюменская область</t>
  </si>
  <si>
    <t xml:space="preserve">73 </t>
  </si>
  <si>
    <t>Ульяновская область</t>
  </si>
  <si>
    <t>74</t>
  </si>
  <si>
    <t>Челябинская область</t>
  </si>
  <si>
    <t>75</t>
  </si>
  <si>
    <t>Забайкальский край</t>
  </si>
  <si>
    <t>76</t>
  </si>
  <si>
    <t>Ярославская область</t>
  </si>
  <si>
    <t>77</t>
  </si>
  <si>
    <t>г. Москва</t>
  </si>
  <si>
    <t>78</t>
  </si>
  <si>
    <t>г. Санкт-Петербург</t>
  </si>
  <si>
    <t>79</t>
  </si>
  <si>
    <t>Еврейская автономная область</t>
  </si>
  <si>
    <t>82</t>
  </si>
  <si>
    <t>Республика Крым</t>
  </si>
  <si>
    <t>83</t>
  </si>
  <si>
    <t>Ненецкий автономный округ</t>
  </si>
  <si>
    <t xml:space="preserve">86 </t>
  </si>
  <si>
    <t>Ханты-Мансийский автономный округ - Югра</t>
  </si>
  <si>
    <t>87</t>
  </si>
  <si>
    <t>Чукотский автономный округ</t>
  </si>
  <si>
    <t>89</t>
  </si>
  <si>
    <t>Ямало-Ненецкий автономный округ</t>
  </si>
  <si>
    <t>92</t>
  </si>
  <si>
    <t>г. Севастополь</t>
  </si>
  <si>
    <t>95</t>
  </si>
  <si>
    <t>Чеченская республика</t>
  </si>
  <si>
    <t>Общероссийский классификатор организационно-правовых форм (ОКОПФ):</t>
  </si>
  <si>
    <t xml:space="preserve">Код </t>
  </si>
  <si>
    <t>Изменить значения можно в ячейке D22 на листе "Общие сведения"</t>
  </si>
  <si>
    <t>Общество с ограниченной ответственностью / Частная собственность</t>
  </si>
  <si>
    <t>Публичное акционерное общество / Частная собственность</t>
  </si>
  <si>
    <t>Общество с ограниченной ответственностью / Смешанная российская собственность с долей федеральной собственности</t>
  </si>
  <si>
    <t>Акционерное общество / Частная собственность</t>
  </si>
  <si>
    <t>Закрытое акционерное общество / Частная собственность</t>
  </si>
  <si>
    <t>Открытое акционерное общество / Частная собственность</t>
  </si>
  <si>
    <t>Филиал публичного акционерного общества</t>
  </si>
  <si>
    <t>Представительство публичного акционерного общества</t>
  </si>
  <si>
    <t>Общественные организации</t>
  </si>
  <si>
    <t>ОРГАНИЗАЦИОННО-ПРАВОВЫЕ ФОРМЫ ЮРИДИЧЕСКИХ ЛИЦ, ЯВЛЯЮЩИХСЯ КОММЕРЧЕСКИМИ КОРПОРАТИВНЫМИ ОРГАНИЗАЦИЯМИ</t>
  </si>
  <si>
    <t>Хозяйственные товарищества</t>
  </si>
  <si>
    <t>Полные товарищества</t>
  </si>
  <si>
    <t>Товарищества на вере (коммандитные товарищества)</t>
  </si>
  <si>
    <t>Хозяйственные общества</t>
  </si>
  <si>
    <t>Акционерные общества</t>
  </si>
  <si>
    <t>Публичные акционерные общества</t>
  </si>
  <si>
    <t>Непубличные акционерные общества</t>
  </si>
  <si>
    <t>Общества с ограниченной ответственностью</t>
  </si>
  <si>
    <t>Хозяйственные партнерства</t>
  </si>
  <si>
    <t>Производственные кооперативы (артели)</t>
  </si>
  <si>
    <t>Сельскохозяйственные производственные кооперативы</t>
  </si>
  <si>
    <t>Сельскохозяйственные артели (колхозы)</t>
  </si>
  <si>
    <t>Рыболовецкие артели (колхозы)</t>
  </si>
  <si>
    <t>Кооперативные хозяйства (коопхозы)</t>
  </si>
  <si>
    <t>Производственные кооперативы (кроме сельскохозяйственных производственных кооперативов)</t>
  </si>
  <si>
    <t>Крестьянские (фермерские) хозяйства</t>
  </si>
  <si>
    <t>Прочие юридические лица, являющиеся коммерческими организациями</t>
  </si>
  <si>
    <t>ОРГАНИЗАЦИОННО-ПРАВОВЫЕ ФОРМЫ ЮРИДИЧЕСКИХ ЛИЦ, ЯВЛЯЮЩИХСЯ НЕКОММЕРЧЕСКИМИ КОРПОРАТИВНЫМИ ОРГАНИЗАЦИЯМИ</t>
  </si>
  <si>
    <t>Потребительские кооперативы</t>
  </si>
  <si>
    <t>Гаражные и гаражно-строительные кооперативы</t>
  </si>
  <si>
    <t>Жилищные или жилищно-строительные кооперативы</t>
  </si>
  <si>
    <t>Жилищные накопительные кооперативы</t>
  </si>
  <si>
    <t>Кредитные потребительские кооперативы</t>
  </si>
  <si>
    <t>Кредитные потребительские кооперативы граждан</t>
  </si>
  <si>
    <t>Кредитные кооперативы второго уровня</t>
  </si>
  <si>
    <t>Потребительские общества</t>
  </si>
  <si>
    <t>Общества взаимного страхования</t>
  </si>
  <si>
    <t>Сельскохозяйственные потребительские перерабатывающие кооперативы</t>
  </si>
  <si>
    <t>Сельскохозяйственные потребительские сбытовые (торговые) кооперативы</t>
  </si>
  <si>
    <t>Сельскохозяйственные потребительские обслуживающие кооперативы</t>
  </si>
  <si>
    <t>Сельскохозяйственные потребительские снабженческие кооперативы</t>
  </si>
  <si>
    <t>Сельскохозяйственные потребительские садоводческие кооперативы</t>
  </si>
  <si>
    <t>Сельскохозяйственные потребительские огороднические кооперативы</t>
  </si>
  <si>
    <t>Сельскохозяйственные потребительские животноводческие кооперативы</t>
  </si>
  <si>
    <t>Садоводческие, огороднические или дачные потребительские кооперативы</t>
  </si>
  <si>
    <t>Фонды проката</t>
  </si>
  <si>
    <t>Политические партии</t>
  </si>
  <si>
    <t>Профсоюзные организации</t>
  </si>
  <si>
    <t>Общественные движения</t>
  </si>
  <si>
    <t>Органы общественной самодеятельности</t>
  </si>
  <si>
    <t>Территориальные общественные самоуправления</t>
  </si>
  <si>
    <t>Ассоциации (союзы)</t>
  </si>
  <si>
    <t>Ассоциации (союзы) экономического взаимодействия субъектов Российской Федерации</t>
  </si>
  <si>
    <t>Советы муниципальных образований субъектов Российской Федерации</t>
  </si>
  <si>
    <t>Союзы (ассоциации) кредитных кооперативов</t>
  </si>
  <si>
    <t>Союзы (ассоциации) кооперативов</t>
  </si>
  <si>
    <t>Союзы (ассоциации) общественных объединений</t>
  </si>
  <si>
    <t>Союзы (ассоциации) общин малочисленных народов</t>
  </si>
  <si>
    <t>Союзы потребительских обществ</t>
  </si>
  <si>
    <t>Адвокатские палаты</t>
  </si>
  <si>
    <t>Нотариальные палаты</t>
  </si>
  <si>
    <t>Торгово-промышленные палаты</t>
  </si>
  <si>
    <t>Объединения работодателей</t>
  </si>
  <si>
    <t>Объединения фермерских хозяйств</t>
  </si>
  <si>
    <t>Некоммерческие партнерства</t>
  </si>
  <si>
    <t>Адвокатские бюро</t>
  </si>
  <si>
    <t>Коллегии адвокатов</t>
  </si>
  <si>
    <t>Садоводческие, огороднические или дачные некоммерческие партнерства</t>
  </si>
  <si>
    <t>Ассоциации (союзы) садоводческих, огороднических и дачных некоммерческих объединений</t>
  </si>
  <si>
    <t>Саморегулируемые организации</t>
  </si>
  <si>
    <t>Объединения (ассоциации и союзы) благотворительных организаций</t>
  </si>
  <si>
    <t>Товарищества собственников недвижимости</t>
  </si>
  <si>
    <t>Садоводческие, огороднические или дачные некоммерческие товарищества</t>
  </si>
  <si>
    <t>Товарищества собственников жилья</t>
  </si>
  <si>
    <t>Казачьи общества, внесенные в государственный реестр казачьих обществ в Российской Федерации</t>
  </si>
  <si>
    <t>Общины коренных малочисленных народов Российской Федерации</t>
  </si>
  <si>
    <t>ОРГАНИЗАЦИОННО-ПРАВОВЫЕ ФОРМЫ ОРГАНИЗАЦИЙ, СОЗДАННЫХ БЕЗ ПРАВ ЮРИДИЧЕСКОГО ЛИЦА</t>
  </si>
  <si>
    <t>Представительства юридических лиц</t>
  </si>
  <si>
    <t>Филиалы юридических лиц</t>
  </si>
  <si>
    <t>Обособленные подразделения юридических лиц</t>
  </si>
  <si>
    <t>Структурные подразделения обособленных подразделений юридических лиц</t>
  </si>
  <si>
    <t>Паевые инвестиционные фонды</t>
  </si>
  <si>
    <t>Простые товарищества</t>
  </si>
  <si>
    <t>Районные суды, городские суды, межрайонные суды (районные суды)</t>
  </si>
  <si>
    <t>ОРГАНИЗАЦИОННО-ПРАВОВЫЕ ФОРМЫ МЕЖДУНАРОДНЫХ ОРГАНИЗАЦИЙ, осущ.деят. на территории РФ</t>
  </si>
  <si>
    <t>Межправительственные международные организации</t>
  </si>
  <si>
    <t>Неправительственные международные организации</t>
  </si>
  <si>
    <t>ОРГАНИЗАЦИОННО-ПРАВОВЫЕ ФОРМЫ ДЛЯ ДЕЯТЕЛЬНОСТИ ГРАЖДАН (ФИЗИЧЕСКИХ ЛИЦ)</t>
  </si>
  <si>
    <t>Организационно-правовые формы для коммерческой деятельности граждан</t>
  </si>
  <si>
    <t>Главы крестьянских (фермерских) хозяйств</t>
  </si>
  <si>
    <t>Индивидуальные предприниматели</t>
  </si>
  <si>
    <t>Организационно-правовые формы для деятельности граждан, не отнесенной к предпринимательству</t>
  </si>
  <si>
    <t>Адвокаты, учредившие адвокатский кабинет</t>
  </si>
  <si>
    <t>Нотариусы, занимающиеся частной практикой</t>
  </si>
  <si>
    <t>ОРГАНИЗАЦИОННО-ПРАВОВЫЕ ФОРМЫ ЮРИДИЧЕСКИХ ЛИЦ, ЯВЛЯЮЩИХСЯ КОММЕРЧЕСКИМИ УНИТАРНЫМИ ОРГАНИЗАЦИЯМИ</t>
  </si>
  <si>
    <t>Унитарные предприятия</t>
  </si>
  <si>
    <t>Унитарные предприятия, основанные на праве оперативного управления (казенные предприятия)</t>
  </si>
  <si>
    <t>Федеральные казенные предприятия</t>
  </si>
  <si>
    <t>Казенные предприятия субъектов Российской Федерации</t>
  </si>
  <si>
    <t>Муниципальные казенные предприятия</t>
  </si>
  <si>
    <t>Унитарные предприятия, основанные на праве хозяйственного ведения</t>
  </si>
  <si>
    <t>Федеральные государственные унитарные предприятия</t>
  </si>
  <si>
    <t>Государственные унитарные предприятия субъектов Российской Федерации</t>
  </si>
  <si>
    <t>Муниципальные унитарные предприятия</t>
  </si>
  <si>
    <t>ОРГАНИЗАЦИОННО-ПРАВОВЫЕ ФОРМЫ ЮРИДИЧЕСКИХ ЛИЦ, ЯВЛЯЮЩИХСЯ НЕКОММЕРЧЕСКИМИ УНИТАРНЫМИ ОРГАНИЗАЦИЯМИ</t>
  </si>
  <si>
    <t>Фонды</t>
  </si>
  <si>
    <t>Благотворительные фонды</t>
  </si>
  <si>
    <t>Негосударственные пенсионные фонды</t>
  </si>
  <si>
    <t>Общественные фонды</t>
  </si>
  <si>
    <t>Экологические фонды</t>
  </si>
  <si>
    <t>Автономные некоммерческие организации</t>
  </si>
  <si>
    <t>Религиозные организации</t>
  </si>
  <si>
    <t>Публично-правовые компании</t>
  </si>
  <si>
    <t>Государственные корпорации</t>
  </si>
  <si>
    <t>Государственные компании</t>
  </si>
  <si>
    <t>Отделения иностранных некоммерческих неправительственных организаций</t>
  </si>
  <si>
    <t>Учреждения</t>
  </si>
  <si>
    <t>Учреждения, созданные Российской Федерацией</t>
  </si>
  <si>
    <t>Федеральные государственные автономные учреждения</t>
  </si>
  <si>
    <t>Федеральные государственные бюджетные учреждения</t>
  </si>
  <si>
    <t>Федеральные государственные казенные учреждения</t>
  </si>
  <si>
    <t>Учреждения, созданные субъектом Российской Федерации</t>
  </si>
  <si>
    <t>Государственные автономные учреждения субъектов Российской Федерации</t>
  </si>
  <si>
    <t>Государственные бюджетные учреждения субъектов Российской Федерации</t>
  </si>
  <si>
    <t>Государственные казенные учреждения субъектов Российской Федерации</t>
  </si>
  <si>
    <t>Государственные академии наук</t>
  </si>
  <si>
    <t>Учреждения, созданные муниципальным образованием (муниципальные учреждения)</t>
  </si>
  <si>
    <t>Муниципальные автономные учреждения</t>
  </si>
  <si>
    <t>Муниципальные бюджетные учреждения</t>
  </si>
  <si>
    <t>Муниципальные казенные учреждения</t>
  </si>
  <si>
    <t>Частные учреждения</t>
  </si>
  <si>
    <t>Благотворительные учреждения</t>
  </si>
  <si>
    <t>Общественные учреждения</t>
  </si>
  <si>
    <t>Оглавление</t>
  </si>
  <si>
    <t>№ п/п</t>
  </si>
  <si>
    <t>Наименование листов EXCEL-файла</t>
  </si>
  <si>
    <t>Информация на листе</t>
  </si>
  <si>
    <t>Общие сведения</t>
  </si>
  <si>
    <t>Общие сведения об организации. Справка по использованию (вспомогательный лист)</t>
  </si>
  <si>
    <t>Баланс</t>
  </si>
  <si>
    <t xml:space="preserve">Бухгалтерский баланс </t>
  </si>
  <si>
    <t>Финансовый результат</t>
  </si>
  <si>
    <t>Изменение капитала</t>
  </si>
  <si>
    <t>Отчет об изменениях капитала</t>
  </si>
  <si>
    <t>Движение денежных средств</t>
  </si>
  <si>
    <t>Отчет о движении денежных средств</t>
  </si>
  <si>
    <t>Целевое использование</t>
  </si>
  <si>
    <t>ПОЯСНЕНИЯ К БУХГАЛТЕРСКОМУ БАЛАНСУ И ОТЧЕТУ О ФИНАНСОВЫХ РЕЗУЛЬТАТАХ :</t>
  </si>
  <si>
    <t>5.2.1</t>
  </si>
  <si>
    <t>Наличие и движение основных средств</t>
  </si>
  <si>
    <t>5.2.4</t>
  </si>
  <si>
    <t>5.3.1</t>
  </si>
  <si>
    <t>Наличие и движение финансовых вложений</t>
  </si>
  <si>
    <t>Наличие и движение поисковых активов</t>
  </si>
  <si>
    <t>Имя XML-файла (без расширения .xml)</t>
  </si>
  <si>
    <t>ИдФайл</t>
  </si>
  <si>
    <t>Версия программы, с пом. которой сформирован XML-файл</t>
  </si>
  <si>
    <t>ВерсПрог</t>
  </si>
  <si>
    <t>Версия формата XML</t>
  </si>
  <si>
    <t>ВерсФорм</t>
  </si>
  <si>
    <t>Идентификатор получателя, которому направляется файл</t>
  </si>
  <si>
    <t>А</t>
  </si>
  <si>
    <t xml:space="preserve"> – четырехразрядный код налогового органа (ФНС, которому направляется файл)</t>
  </si>
  <si>
    <t>Идентификатор конечного получателя, для которого предназначена информация из данного файла</t>
  </si>
  <si>
    <t>К</t>
  </si>
  <si>
    <t xml:space="preserve"> – четырехразрядный код налогового органа (ФНС, для которого предназначена информация из данного файла)</t>
  </si>
  <si>
    <t>Код формы отчетности по КНД</t>
  </si>
  <si>
    <t>КНД</t>
  </si>
  <si>
    <t xml:space="preserve">0710099  </t>
  </si>
  <si>
    <t>Принимает значение 0710099 для бухгалтерской(финансовой) отчетности</t>
  </si>
  <si>
    <t>Дата формирования документа (XML-файла)</t>
  </si>
  <si>
    <t>ДатаДок</t>
  </si>
  <si>
    <t xml:space="preserve"> Дата формирования XML-файла в формате ДД.ММ.ГГГГ   (формулу можно заменить конкретной датой)</t>
  </si>
  <si>
    <t>Отчетный период</t>
  </si>
  <si>
    <t xml:space="preserve"> - см. инф. на листе "Справочники"</t>
  </si>
  <si>
    <t>Отчетный год</t>
  </si>
  <si>
    <t>ОтчетГод</t>
  </si>
  <si>
    <t>Год в формате ГГГГ</t>
  </si>
  <si>
    <t>Номер корректировки</t>
  </si>
  <si>
    <t>НомКорр</t>
  </si>
  <si>
    <t>0</t>
  </si>
  <si>
    <t>По умолчанию имеет значение 0.</t>
  </si>
  <si>
    <t>"А" и "К" могут совпадать</t>
  </si>
  <si>
    <t>Чтобы в XML-файле строка 2465 суммируются к строке 2460</t>
  </si>
  <si>
    <t>1351</t>
  </si>
  <si>
    <t>от бессрочных облигаций и займов</t>
  </si>
  <si>
    <t>4315</t>
  </si>
  <si>
    <t>4324</t>
  </si>
  <si>
    <t>операции, связанные с бессрочными облигациями и займами</t>
  </si>
  <si>
    <t>Выручка, в т.ч.:</t>
  </si>
  <si>
    <t>Себестоимость продаж, в т.ч.:</t>
  </si>
  <si>
    <t>1455</t>
  </si>
  <si>
    <t>1555</t>
  </si>
  <si>
    <t>первоначальная (фактическая) стоимость</t>
  </si>
  <si>
    <t>накопленные амортизация и обесценение</t>
  </si>
  <si>
    <t>первоначаль-ная (фактическая) стоимость</t>
  </si>
  <si>
    <t>1.2 Наличие и движение нематериальных активов, созданных организацией</t>
  </si>
  <si>
    <t>1.3 Капитальные вложения в объекты нематериальных активов</t>
  </si>
  <si>
    <t>накопленное обесценение</t>
  </si>
  <si>
    <t>первоначаль-ные (фактические) затраты</t>
  </si>
  <si>
    <t>Основные средства (без учета инвестиционной недвижимости) - всего</t>
  </si>
  <si>
    <t>Инвестиционная недвижимость - всего</t>
  </si>
  <si>
    <t>2.2 Наличие и движение прав пользования активами</t>
  </si>
  <si>
    <t>Права пользования активами - всего</t>
  </si>
  <si>
    <t>2.3 Капитальные вложения в объекты основных средств, инвестиционной недвижимости и права пользования активами</t>
  </si>
  <si>
    <t>Капитальные вложения в объекты основных средств - всего</t>
  </si>
  <si>
    <t>Основные средства, предоставленные за плату во временное пользование</t>
  </si>
  <si>
    <t>Пригодные для использования, но не используемые объекты основных средств</t>
  </si>
  <si>
    <t>Основные средства, в отношении которых имеются ограничения имущественных прав, в том числе находящиеся в залоге</t>
  </si>
  <si>
    <t>прочие краткосрочные финансовые вложения</t>
  </si>
  <si>
    <t>4.2 Запасы, в отношении которых имеются ограничения имущественных прав</t>
  </si>
  <si>
    <t>Запасы, в отношении которых имеются ограничения имущественных прав, в том числе находящиеся в залоге</t>
  </si>
  <si>
    <t>Изменение остатков незавершенного производства, готовой продукции и др. (прирост [ - ], уменьшение (+))</t>
  </si>
  <si>
    <t>обязательства по ликвидации основных средств и восстановлению окружающей среды в связи с пользованием недрами</t>
  </si>
  <si>
    <t>5.  Затраты на производство</t>
  </si>
  <si>
    <t>6.  Оценочные обязательства</t>
  </si>
  <si>
    <t>5.1.1</t>
  </si>
  <si>
    <t>5.1.2</t>
  </si>
  <si>
    <t>5.1.3</t>
  </si>
  <si>
    <t>5.2.2</t>
  </si>
  <si>
    <t>5.2.3</t>
  </si>
  <si>
    <t>5.5</t>
  </si>
  <si>
    <t>5.8</t>
  </si>
  <si>
    <t>Наличие и движение нематериальных активов</t>
  </si>
  <si>
    <t>Наличие и движение нематериальных активов, созданных организацией</t>
  </si>
  <si>
    <t>Капитальные вложения в объекты нематериальных активов</t>
  </si>
  <si>
    <t>Наличие и движение прав пользования активами</t>
  </si>
  <si>
    <t>Капитальные вложения в объекты основных средств, инвестиционной недвижимости и права пользования активами</t>
  </si>
  <si>
    <t>Затраты на производство</t>
  </si>
  <si>
    <t>Капитальные вложения в поисковые активы</t>
  </si>
  <si>
    <t>фактическая себестоимость</t>
  </si>
  <si>
    <t>величина резерва под обесценение</t>
  </si>
  <si>
    <t>резерв под обесценение</t>
  </si>
  <si>
    <t>поступило</t>
  </si>
  <si>
    <t>выбыло</t>
  </si>
  <si>
    <t>начислено амортизации</t>
  </si>
  <si>
    <t>переклассификация, в т.ч. в долгосрочные активы к продаже</t>
  </si>
  <si>
    <t>выбыло объектов</t>
  </si>
  <si>
    <t>обесценение</t>
  </si>
  <si>
    <t>поступило, 
в т.ч. в результате заключения новых договоров аренды</t>
  </si>
  <si>
    <t>эффект модификации и изменения оценок по договорам аренды</t>
  </si>
  <si>
    <t>переклассификация</t>
  </si>
  <si>
    <t>текущей рыночной стоимости (убытков от обесценения)</t>
  </si>
  <si>
    <t>поступление и затраты</t>
  </si>
  <si>
    <t xml:space="preserve">выбыло </t>
  </si>
  <si>
    <t>оборот запасов между их группами (видами)</t>
  </si>
  <si>
    <t xml:space="preserve">5.3.2 </t>
  </si>
  <si>
    <t>5.4.1   5.4.2</t>
  </si>
  <si>
    <t>Наличие и движение запасов.   Запасы, в отношении которых имеются ограничения имущественных прав</t>
  </si>
  <si>
    <t>обязательство по выплате вознаграждений по итогам работы за год</t>
  </si>
  <si>
    <t>1. Нематериальные активы</t>
  </si>
  <si>
    <t>Права на объекты интеллектуальной собственности</t>
  </si>
  <si>
    <t xml:space="preserve">обесцене-ние
</t>
  </si>
  <si>
    <t>начислено амортиза-ции</t>
  </si>
  <si>
    <t xml:space="preserve">Незаконченные операции по приобретению и созданию нематериальных активов </t>
  </si>
  <si>
    <t>обесцене-ние</t>
  </si>
  <si>
    <t xml:space="preserve">Капитальные вложения в объекты инвестиционной недвижимости </t>
  </si>
  <si>
    <t xml:space="preserve">Капитальные вложения в права пользования активами </t>
  </si>
  <si>
    <t>накоплен-ная корректи-ровка</t>
  </si>
  <si>
    <t>Краткосрочные финансовые вложения, находящиеся в залоге</t>
  </si>
  <si>
    <t>Краткосрочные финансовые вложения, переданные третьим лицам (кроме продажи)</t>
  </si>
  <si>
    <t>Нематериальные поисковые активы - всего</t>
  </si>
  <si>
    <t>Материальные поисковые активы - всего</t>
  </si>
  <si>
    <t>накоплен-ные амортиза-ция и обесцене-ние</t>
  </si>
  <si>
    <t>Прочие внеоборотные активы</t>
  </si>
  <si>
    <t xml:space="preserve">Права на объекты интеллектуальной собственности </t>
  </si>
  <si>
    <t>накопленные амортизация 
и обесценение</t>
  </si>
  <si>
    <r>
      <t xml:space="preserve">накопленные амортизация 
и </t>
    </r>
    <r>
      <rPr>
        <sz val="12"/>
        <color rgb="FFFF0000"/>
        <rFont val="MS Sans Serif"/>
        <family val="2"/>
        <charset val="204"/>
      </rPr>
      <t>обесценение</t>
    </r>
  </si>
  <si>
    <t>накоплен-ные аморти-зация и обесценение</t>
  </si>
  <si>
    <t>Нематериальные активы -  всего</t>
  </si>
  <si>
    <t>первоначальные (фактические) затраты</t>
  </si>
  <si>
    <t>накоплен-ные аморти-зация и обесцене-ние</t>
  </si>
  <si>
    <t>Код показателя</t>
  </si>
  <si>
    <t>Нематериальные активы</t>
  </si>
  <si>
    <t>Основные средства</t>
  </si>
  <si>
    <t>капитальные вложения</t>
  </si>
  <si>
    <t>права пользования активами</t>
  </si>
  <si>
    <t>Финансовые вложения</t>
  </si>
  <si>
    <t>инвестиции в дочерние организации</t>
  </si>
  <si>
    <t>инвестиции в зависимые организации</t>
  </si>
  <si>
    <t>займы выданные</t>
  </si>
  <si>
    <t>дебиторская задолженность</t>
  </si>
  <si>
    <t>1191</t>
  </si>
  <si>
    <t>1193</t>
  </si>
  <si>
    <t>1199</t>
  </si>
  <si>
    <t>Инвестиционная недвижимость</t>
  </si>
  <si>
    <t>1110</t>
  </si>
  <si>
    <t>Запасы</t>
  </si>
  <si>
    <t>Долгосрочные активы к продаже</t>
  </si>
  <si>
    <t>Дебиторская задолженность</t>
  </si>
  <si>
    <t>Финансовые вложения (за исключением денежных эквивалентов)</t>
  </si>
  <si>
    <t>Денежные средства и денежные эквиваленты</t>
  </si>
  <si>
    <t>Собственные акции (доли), принадлежащие обществу, задолженность акционеров (участников) по оплате акций (долей)</t>
  </si>
  <si>
    <t>Накопленная дооценка внеоборотных активов</t>
  </si>
  <si>
    <t>Добавочный капитал (без накопленной дооценки)</t>
  </si>
  <si>
    <t>бессрочные облигации и займы</t>
  </si>
  <si>
    <t>Заемные средства</t>
  </si>
  <si>
    <t>долгосрочные кредиты</t>
  </si>
  <si>
    <t>долгосрочные займы</t>
  </si>
  <si>
    <t>Прочие долгосрочные обязательства</t>
  </si>
  <si>
    <t>кредиторская задолженность</t>
  </si>
  <si>
    <t>обязательства по аренде</t>
  </si>
  <si>
    <t>краткосрочные кредиты</t>
  </si>
  <si>
    <t>краткосрочные займы</t>
  </si>
  <si>
    <t>Кредиторская задолженность</t>
  </si>
  <si>
    <t>прочие кредиторы</t>
  </si>
  <si>
    <t>Прочие краткосрочные обязательства</t>
  </si>
  <si>
    <t>1212</t>
  </si>
  <si>
    <t xml:space="preserve">Форма по ОКУД  </t>
  </si>
  <si>
    <t xml:space="preserve">Отчетная дата (число,месяц,год)    </t>
  </si>
  <si>
    <t>Прибыль (убыток) от продолжающейся деятельности до налогообложения</t>
  </si>
  <si>
    <t>Налог на прибыль организаций, в т.ч.:</t>
  </si>
  <si>
    <t>текущий налог на прибыль организаций</t>
  </si>
  <si>
    <t>отложенный налог на прибыль организаций</t>
  </si>
  <si>
    <t>Прибыль (убыток) от прекращаемой деятельности (за вычетом относящегося к ней налога на прибыль организаций)</t>
  </si>
  <si>
    <t>2420</t>
  </si>
  <si>
    <t>Результат переоценки внеоборотных активов, не включаемый в чистую прибыль (убыток)</t>
  </si>
  <si>
    <t>Результат прочих операций, не включаемый в чистую прибыль (убыток)</t>
  </si>
  <si>
    <t>Совокупный финансовый результат</t>
  </si>
  <si>
    <t>Базовая прибыль (убыток) на акцию, руб. коп.</t>
  </si>
  <si>
    <t>Разводненная прибыль (убыток) на акцию, руб. коп.</t>
  </si>
  <si>
    <t>Налог на прибыль организаций, относящийся к результатам переоценки внеоборотных активов и прочих операций, не включаемых в чистую прибыль (убыток)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</si>
  <si>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</si>
  <si>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</si>
  <si>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</si>
  <si>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</si>
  <si>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</si>
  <si>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</si>
  <si>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</si>
  <si>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</si>
  <si>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</si>
  <si>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</si>
  <si>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</si>
  <si>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</si>
  <si>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</si>
  <si>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</si>
  <si>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</si>
  <si>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</si>
  <si>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</si>
  <si>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</si>
  <si>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2100</t>
  </si>
  <si>
    <t>2210</t>
  </si>
  <si>
    <t>2220</t>
  </si>
  <si>
    <t>2200</t>
  </si>
  <si>
    <t>2310</t>
  </si>
  <si>
    <t>2320</t>
  </si>
  <si>
    <t>2330</t>
  </si>
  <si>
    <t>2340</t>
  </si>
  <si>
    <t>2350</t>
  </si>
  <si>
    <t>2300</t>
  </si>
  <si>
    <t>2460</t>
  </si>
  <si>
    <t>2400</t>
  </si>
  <si>
    <t>2510</t>
  </si>
  <si>
    <t>2520</t>
  </si>
  <si>
    <t>2500</t>
  </si>
  <si>
    <t>2900</t>
  </si>
  <si>
    <t>2910</t>
  </si>
  <si>
    <t>(наименование должности)</t>
  </si>
  <si>
    <t>(подпись)</t>
  </si>
  <si>
    <t>(расшифровка подписи)</t>
  </si>
  <si>
    <t>Поступления - всего, 
       в том числе:</t>
  </si>
  <si>
    <t>от продажи продукции, товаров, выполнения
работ, оказания услуг</t>
  </si>
  <si>
    <t>арендных платежей, роялти, комиссионных
и иных аналогичных платежей</t>
  </si>
  <si>
    <t>4110</t>
  </si>
  <si>
    <t>4114</t>
  </si>
  <si>
    <t>Платежи - всего, 
       в том числе:</t>
  </si>
  <si>
    <t>от выпуска облигаций, векселей и других долговых ценных бумаг</t>
  </si>
  <si>
    <t>связанные с бессрочными облигациями и займами</t>
  </si>
  <si>
    <t>Сальдо денежных потоков за период</t>
  </si>
  <si>
    <t>Остаток денежных средств и денежных эквивалентов на начало периода</t>
  </si>
  <si>
    <t>Остаток денежных средств и денежных эквивалентов на конец периода</t>
  </si>
  <si>
    <t>Величина влияния изменения курса иностранной валюты по отношению к рублю</t>
  </si>
  <si>
    <t>процентов по дебиторской задолженности
покупателей</t>
  </si>
  <si>
    <t>поставщикам (подрядчикам) за сырье, материалы, выполненные
работы, оказанные услуги</t>
  </si>
  <si>
    <t>4322</t>
  </si>
  <si>
    <t>4400</t>
  </si>
  <si>
    <t xml:space="preserve">Форма по ОКУД    </t>
  </si>
  <si>
    <t>Переоценка
внеоборотных активов</t>
  </si>
  <si>
    <t>Дивиденды</t>
  </si>
  <si>
    <t>Иные изменения за счет операций с собственниками (за исключением 
дивидендов) - всего</t>
  </si>
  <si>
    <t>увеличение (уменьшение) номинальной стоимости акций (долей)</t>
  </si>
  <si>
    <t>выкуп собственных акций (долей)</t>
  </si>
  <si>
    <t>уменьшение количества акций (погашение долей)</t>
  </si>
  <si>
    <t>Реорганизация
юридического лица</t>
  </si>
  <si>
    <t>Иные изменения - всего</t>
  </si>
  <si>
    <t>вклады в имущество</t>
  </si>
  <si>
    <t>Бухгалтерская отчетность</t>
  </si>
  <si>
    <t>Бухгалтерская отчетность подлежит обязательному аудиту</t>
  </si>
  <si>
    <t>по ОКПО</t>
  </si>
  <si>
    <t>по ОКОПФ</t>
  </si>
  <si>
    <t>по ОКФС</t>
  </si>
  <si>
    <t>Идентификационный номер налогоплательщика
аудиторской организации</t>
  </si>
  <si>
    <t>Основной государственный регистрационный номер
аудиторской организации</t>
  </si>
  <si>
    <t>Бухгалтерская отчетность подлежит утверждению</t>
  </si>
  <si>
    <t>Наим. должности (Генеральный директор, Руководитель, ... )</t>
  </si>
  <si>
    <t>После автоматического переса данных в текущий файл Excel любые формулы, а также значения ячеек и настройки форматирования могут быть при необходимости скорректированы.
Изменять структуру отчетных таблиц (удалять и добавлять строки и графы) не рекомендуется. Вместо удаления строк необходимо их скрыть.</t>
  </si>
  <si>
    <t>Код по ОКПО (число)</t>
  </si>
  <si>
    <t>ИНН (число)</t>
  </si>
  <si>
    <t>Краткое наименование организации (текст)</t>
  </si>
  <si>
    <t>Организационно-правовая форма (текст)</t>
  </si>
  <si>
    <t>Код по ОКОПФ (число)</t>
  </si>
  <si>
    <t>Форма собственности (текст)</t>
  </si>
  <si>
    <t>Код по ОКФС (число)</t>
  </si>
  <si>
    <t>Наименование аудиторской организации, проводившей обязательный аудит</t>
  </si>
  <si>
    <t>Идентификационный номер налогоплательщика (ИНН) аудиторской организации</t>
  </si>
  <si>
    <t>Основной государственный регистрационный номер (ОГРН) аудиторской организации</t>
  </si>
  <si>
    <t>Наименование органа, утверждающего бухгалтерскую отчетность</t>
  </si>
  <si>
    <t>Файл XML с данными годовой отчетности для отправки в ФНС:</t>
  </si>
  <si>
    <t>Сведения о налогоплательщике:</t>
  </si>
  <si>
    <t>Сведения об органе, утверждающего бухгалтерскую отчетность:</t>
  </si>
  <si>
    <t>Сведения о аудиторе:</t>
  </si>
  <si>
    <t>Краткое наименование организации, например, ПАО "Газпром"</t>
  </si>
  <si>
    <t>текстовое поле 10 символов</t>
  </si>
  <si>
    <t>текстовое поле от 8 до 10 символов</t>
  </si>
  <si>
    <t>Место нахождения (адрес) регистрации организации.
Текстовое поле используется на листе "Титульный лист" текущего файла</t>
  </si>
  <si>
    <t>Текстовое поле</t>
  </si>
  <si>
    <t>Текстовое поле, например, Общество с ограниченной ответственностью "Финансовые и бухгалтерские консультанты"</t>
  </si>
  <si>
    <t>текстовое поле 13 символов</t>
  </si>
  <si>
    <t xml:space="preserve"> ДА</t>
  </si>
  <si>
    <t xml:space="preserve"> НЕТ</t>
  </si>
  <si>
    <t>АдрМН</t>
  </si>
  <si>
    <t>Лист заполняется автоматически на основании данных листа "Общие сведения"</t>
  </si>
  <si>
    <t>Полный адрес (местонахождение) (текст)</t>
  </si>
  <si>
    <t>-</t>
  </si>
  <si>
    <t>Корректировка в связи с:
   изменением учетной 
   политики</t>
  </si>
  <si>
    <t xml:space="preserve">   исправлением ошибок</t>
  </si>
  <si>
    <t>(вместо формулы можно написать имя файла)</t>
  </si>
  <si>
    <t>2.4 Основные средства, в отношении которых имеются ограничения использования</t>
  </si>
  <si>
    <t>Иное использование финансовых вложений</t>
  </si>
  <si>
    <t>Затраты на оплату отруда</t>
  </si>
  <si>
    <t>Основные средства, в отношении которых имеются ограничения использования</t>
  </si>
  <si>
    <t>5.6</t>
  </si>
  <si>
    <t>5.7</t>
  </si>
  <si>
    <t>7. Наличие и движение поисковых активов</t>
  </si>
  <si>
    <t>8. Капитальные вложения в поисковые активы</t>
  </si>
  <si>
    <t xml:space="preserve">                          Отчет об изменениях капитала</t>
  </si>
  <si>
    <t xml:space="preserve"> Идентификационный номер налогоплательщика</t>
  </si>
  <si>
    <r>
      <t xml:space="preserve"> ИНН    </t>
    </r>
    <r>
      <rPr>
        <sz val="1"/>
        <rFont val="MS Sans Serif"/>
        <family val="2"/>
        <charset val="204"/>
      </rPr>
      <t xml:space="preserve"> </t>
    </r>
  </si>
  <si>
    <t xml:space="preserve"> по ОКВЭД 2    </t>
  </si>
  <si>
    <t xml:space="preserve"> Организационно-правовая форма/форма собственности:</t>
  </si>
  <si>
    <r>
      <t xml:space="preserve">по ОКОПФ/ОКФС     </t>
    </r>
    <r>
      <rPr>
        <sz val="1"/>
        <rFont val="MS Sans Serif"/>
        <family val="2"/>
        <charset val="204"/>
      </rPr>
      <t xml:space="preserve"> </t>
    </r>
  </si>
  <si>
    <t>1. Движение капитала</t>
  </si>
  <si>
    <t>Код строки</t>
  </si>
  <si>
    <t>Собственные акции, выкупленные у акционеров</t>
  </si>
  <si>
    <t>Добавочный капитал</t>
  </si>
  <si>
    <t>Нераспреде-ленная прибыль (непокрытый убыток)</t>
  </si>
  <si>
    <t>Фонд социальной сферы государственной</t>
  </si>
  <si>
    <t>Фонд социаль-ной сферы государст-венной</t>
  </si>
  <si>
    <t>Величина капитала на 
31 декабря 2023 г.</t>
  </si>
  <si>
    <t>3100</t>
  </si>
  <si>
    <t>Изменения в связи с переоценкой ОС</t>
  </si>
  <si>
    <t>3104</t>
  </si>
  <si>
    <t>Другие изменения вступительного сальдо</t>
  </si>
  <si>
    <t>3108</t>
  </si>
  <si>
    <t>За 2024 год</t>
  </si>
  <si>
    <t>Увеличение капитала - всего,
      в том числе:</t>
  </si>
  <si>
    <t>чистая прибыль</t>
  </si>
  <si>
    <t>Х</t>
  </si>
  <si>
    <t>переоценка имущества</t>
  </si>
  <si>
    <t>доходы, относящиеся непосредственно на увеличение капитала</t>
  </si>
  <si>
    <t>дополнительный выпуск акций</t>
  </si>
  <si>
    <t>увеличение номинальной стоимости акций</t>
  </si>
  <si>
    <t>реорганизация юридического лица</t>
  </si>
  <si>
    <t>выкуп собственных акций</t>
  </si>
  <si>
    <t>3218</t>
  </si>
  <si>
    <t>3219</t>
  </si>
  <si>
    <t xml:space="preserve">Уменьшение капитала - всего,
      в том числе: </t>
  </si>
  <si>
    <t>убыток</t>
  </si>
  <si>
    <t>расходы, относящиеся непосредственно на уменьшение капитала</t>
  </si>
  <si>
    <t>уменьшение номинальной стоимости акций</t>
  </si>
  <si>
    <t>уменьшение количества акций</t>
  </si>
  <si>
    <t>дивиденды</t>
  </si>
  <si>
    <t>3228</t>
  </si>
  <si>
    <t>3229</t>
  </si>
  <si>
    <t>Изменение добавочного капитала</t>
  </si>
  <si>
    <t>Изменение резервного капитала</t>
  </si>
  <si>
    <t>Величина капитала на 
31 декабря 2024 г.</t>
  </si>
  <si>
    <t>3200</t>
  </si>
  <si>
    <t>3204</t>
  </si>
  <si>
    <t>3208</t>
  </si>
  <si>
    <t>За 2025 год</t>
  </si>
  <si>
    <t>3318</t>
  </si>
  <si>
    <t>3319</t>
  </si>
  <si>
    <t>3328</t>
  </si>
  <si>
    <t>3329</t>
  </si>
  <si>
    <t>Величина капитала на 
31 декабря 2025 г.</t>
  </si>
  <si>
    <t>Форма  0710004   с.3</t>
  </si>
  <si>
    <t>2. Корректировки в связи с изменением учетной политики и исправлением ошибок</t>
  </si>
  <si>
    <t>форма 3_а</t>
  </si>
  <si>
    <t>за счет чистой прибыли
(убытка)</t>
  </si>
  <si>
    <t>за счет иных факторов</t>
  </si>
  <si>
    <t>Капитал - всего
до корректировок</t>
  </si>
  <si>
    <t>корректировка в связи с:</t>
  </si>
  <si>
    <t>изменением учетной политики</t>
  </si>
  <si>
    <t>исправлением ошибок</t>
  </si>
  <si>
    <t>после корректировок</t>
  </si>
  <si>
    <t>нераспределенная прибыль (непокрытый убыток)
до корректировок</t>
  </si>
  <si>
    <t>добавочный капитал
до корректировок</t>
  </si>
  <si>
    <t>резервный капитал
до корректировок</t>
  </si>
  <si>
    <t>собственные акции, выкупленные у акционеров,
до корректировок</t>
  </si>
  <si>
    <t>3404</t>
  </si>
  <si>
    <t>3414</t>
  </si>
  <si>
    <t>3424</t>
  </si>
  <si>
    <t>3504</t>
  </si>
  <si>
    <t>фонд социальной сферы государственной
до корректировок</t>
  </si>
  <si>
    <t>3405</t>
  </si>
  <si>
    <t>3415</t>
  </si>
  <si>
    <t>3425</t>
  </si>
  <si>
    <t>3505</t>
  </si>
  <si>
    <t>Форма   0710004   с.4</t>
  </si>
  <si>
    <t>3. Чистые активы</t>
  </si>
  <si>
    <t>Чистые активы</t>
  </si>
  <si>
    <t>_______________________</t>
  </si>
  <si>
    <t>____________________</t>
  </si>
  <si>
    <t xml:space="preserve">             (подпись)                                    (расшифровка подписи)</t>
  </si>
  <si>
    <t xml:space="preserve">           (подпись)                         (расшифровка подписи)</t>
  </si>
  <si>
    <t>"____" _________________ 2025 г.</t>
  </si>
  <si>
    <t>3402+3403+3404+3405</t>
  </si>
  <si>
    <t>3412+3413+3414+3415</t>
  </si>
  <si>
    <t>3422+3423+3224+3425</t>
  </si>
  <si>
    <t>3502+3503+3504+3505</t>
  </si>
  <si>
    <t>III. КАПИТАЛ</t>
  </si>
  <si>
    <t>Код АСКО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</si>
  <si>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</si>
  <si>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</si>
  <si>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</si>
  <si>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</si>
  <si>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</si>
  <si>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</si>
  <si>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</si>
  <si>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</si>
  <si>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</si>
  <si>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</si>
  <si>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</si>
  <si>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</si>
  <si>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</si>
  <si>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</si>
  <si>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год</t>
  </si>
  <si>
    <t>годовые</t>
  </si>
  <si>
    <t>резерв</t>
  </si>
  <si>
    <t>годовые/резерв</t>
  </si>
  <si>
    <t>"_____" ________________________ 2026 г.</t>
  </si>
  <si>
    <t>Стоит формула, но можно и руками менять значение</t>
  </si>
  <si>
    <t>Технические справочники и дополнительная информация (вспомогательный скрытый лист)</t>
  </si>
  <si>
    <t xml:space="preserve"> налогов и сборов (далее - ФНС).</t>
  </si>
  <si>
    <t xml:space="preserve">Согласно формату 5.10 в XML-файл экспортируются только данные с листов "Баланс", "Финансовый результат", "Изменение капитала", </t>
  </si>
  <si>
    <t>Для годовой отчетности формирование XML-файла актуально для всех организаций:</t>
  </si>
  <si>
    <t>Файл содержит шаблоны для заполнения отчетных форм в соответствии с ФСБУ 4/2023 "Бухгалтерская (финансовая) отчетность"</t>
  </si>
  <si>
    <r>
      <t>к приказу от от 15 ноября 2024 г. N ЕД-7-1/1041@ (вступает в силу с 01.01.2026 г.)
  "Об утверждении форматов представления экземпляров составленной годовой бухгалтерской (финансовой) отчетности и аудиторского заключения о ней в виде электронных документов в целях формирования государственного информационного ресурса бухгалтерской (финансовой) отчетности".</t>
    </r>
    <r>
      <rPr>
        <b/>
        <sz val="9"/>
        <rFont val="MS Sans Serif"/>
        <family val="2"/>
        <charset val="204"/>
      </rPr>
      <t xml:space="preserve"> Версия XML-формата - 5.10.</t>
    </r>
    <r>
      <rPr>
        <sz val="9"/>
        <rFont val="MS Sans Serif"/>
        <family val="2"/>
        <charset val="204"/>
      </rPr>
      <t xml:space="preserve">
</t>
    </r>
  </si>
  <si>
    <t>накопленная корректи-ровка</t>
  </si>
  <si>
    <t>накопленная корректировка</t>
  </si>
  <si>
    <t>5.10</t>
  </si>
  <si>
    <t>1</t>
  </si>
  <si>
    <t>Подписант (1-руководитель, 2-уполномоченный представитель):</t>
  </si>
  <si>
    <t>задолженность перед персоналом организации</t>
  </si>
  <si>
    <t>задолженность по страховым взносам</t>
  </si>
  <si>
    <t>Прибыль (убыток) от продаж</t>
  </si>
  <si>
    <t>Чистая прибыль (убыток)</t>
  </si>
  <si>
    <t>Организация</t>
  </si>
  <si>
    <t>Организационно-правовая форма</t>
  </si>
  <si>
    <t>Адрес в пределах места нахождения</t>
  </si>
  <si>
    <t>Наименование аудиторской организации,
проводившей обязательный аудит</t>
  </si>
  <si>
    <t>БАЛАНС</t>
  </si>
  <si>
    <t>доведение первоначальной стоимости до номинальной</t>
  </si>
  <si>
    <t>задолженность перед акционерами (участниками) по выплате доходов</t>
  </si>
  <si>
    <t>Заголовочная часть</t>
  </si>
  <si>
    <t>0710004</t>
  </si>
  <si>
    <t>4.93</t>
  </si>
  <si>
    <t>Версия программы "Налогоплательщик ЮЛ" версии 4.93 или выше (скорректировать)</t>
  </si>
  <si>
    <t xml:space="preserve"> "Налогоплательщик ЮЛ" (версия 4.93 или выше), или "КОНТУР" или других.</t>
  </si>
  <si>
    <t>Лист "Общие сведения" не обязателен к заполнению. Печать листа не требуется.</t>
  </si>
  <si>
    <t>Сведения можно заполнить позднее - в Вашей программе "НалогоплательщикЮЛ" или "Контур"</t>
  </si>
  <si>
    <t>"Движение денежных средств".</t>
  </si>
  <si>
    <t>Фамилия</t>
  </si>
  <si>
    <t>Имя</t>
  </si>
  <si>
    <t>Отчетсво</t>
  </si>
  <si>
    <t>По классификатору организационно-правовых форм  ОК 028 - 2014 (ОКОПФ)</t>
  </si>
  <si>
    <t>автоматически вычисляется по коду из ячейки D23</t>
  </si>
  <si>
    <t>автоматически вычисляется по коду из ячейки D21</t>
  </si>
  <si>
    <t>По классификатору форм собственности ОК 027 - 2014 (ОКФС)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</si>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</sst>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\ _₽_-;\-* #,##0.00\ _₽_-;_-* &quot;-&quot;??\ _₽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\ ###\ ###;\(#\ ###\ ###\);\-"/>
    <numFmt numFmtId="168" formatCode="#,###;\(#,###\);\-"/>
    <numFmt numFmtId="169" formatCode="0.00;0"/>
    <numFmt numFmtId="170" formatCode="_-* #,##0.00_р_._-;\-* #,##0.00_р_._-;_-* \-??_р_._-;_-@_-"/>
    <numFmt numFmtId="171" formatCode="_-* #,##0_р_._-;\-* #,##0_р_._-;_-* \-_р_._-;_-@_-"/>
    <numFmt numFmtId="172" formatCode="#\ ###\ ###\ ###;\(#\ ###\ ###\ ###\);\-"/>
  </numFmts>
  <fonts count="17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.5"/>
      <name val="MS Sans Serif"/>
      <family val="2"/>
      <charset val="204"/>
    </font>
    <font>
      <sz val="10"/>
      <name val="MS Sans Serif"/>
      <family val="2"/>
      <charset val="204"/>
    </font>
    <font>
      <sz val="10"/>
      <name val="Arial Cyr"/>
      <charset val="204"/>
    </font>
    <font>
      <sz val="8"/>
      <name val="MS Sans Serif"/>
      <family val="2"/>
      <charset val="204"/>
    </font>
    <font>
      <b/>
      <sz val="10"/>
      <name val="MS Sans Serif"/>
      <family val="2"/>
      <charset val="204"/>
    </font>
    <font>
      <sz val="8.5"/>
      <color indexed="10"/>
      <name val="MS Sans Serif"/>
      <family val="2"/>
      <charset val="204"/>
    </font>
    <font>
      <sz val="10"/>
      <name val="Helv"/>
      <family val="2"/>
      <charset val="204"/>
    </font>
    <font>
      <sz val="10"/>
      <name val="Times New Roman Cyr"/>
      <family val="1"/>
      <charset val="204"/>
    </font>
    <font>
      <sz val="10"/>
      <name val="Helv"/>
      <family val="2"/>
    </font>
    <font>
      <sz val="10"/>
      <name val="Arial Cyr"/>
      <family val="2"/>
      <charset val="204"/>
    </font>
    <font>
      <sz val="10"/>
      <name val="Arial Cyr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Times New Roman CYR"/>
      <family val="1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family val="2"/>
      <charset val="204"/>
    </font>
    <font>
      <u/>
      <sz val="6.05"/>
      <color indexed="12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10"/>
      <name val="MS Sans Serif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2"/>
      <name val="MS Sans Serif"/>
      <family val="2"/>
      <charset val="204"/>
    </font>
    <font>
      <b/>
      <sz val="8.5"/>
      <name val="MS Sans Serif"/>
      <family val="2"/>
      <charset val="204"/>
    </font>
    <font>
      <sz val="9"/>
      <name val="MS Sans Serif"/>
      <family val="2"/>
      <charset val="204"/>
    </font>
    <font>
      <sz val="12"/>
      <name val="MS Sans Serif"/>
      <family val="2"/>
      <charset val="204"/>
    </font>
    <font>
      <sz val="8"/>
      <color rgb="FFFF0000"/>
      <name val="MS Sans Serif"/>
      <family val="2"/>
      <charset val="204"/>
    </font>
    <font>
      <sz val="9"/>
      <color rgb="FFFF0000"/>
      <name val="MS Sans Serif"/>
      <family val="2"/>
      <charset val="204"/>
    </font>
    <font>
      <sz val="8"/>
      <color theme="0" tint="-0.499984740745262"/>
      <name val="Arial Cyr"/>
      <charset val="204"/>
    </font>
    <font>
      <sz val="10"/>
      <color theme="0" tint="-0.249977111117893"/>
      <name val="Arial Cyr"/>
      <charset val="204"/>
    </font>
    <font>
      <sz val="8"/>
      <color theme="0" tint="-0.249977111117893"/>
      <name val="Arial Cyr"/>
      <charset val="204"/>
    </font>
    <font>
      <b/>
      <sz val="8"/>
      <color theme="0" tint="-0.499984740745262"/>
      <name val="Arial Cyr"/>
      <charset val="204"/>
    </font>
    <font>
      <b/>
      <sz val="8"/>
      <color indexed="81"/>
      <name val="Tahoma"/>
      <family val="2"/>
      <charset val="204"/>
    </font>
    <font>
      <u/>
      <sz val="10"/>
      <color theme="10"/>
      <name val="Arial Cyr"/>
      <charset val="204"/>
    </font>
    <font>
      <b/>
      <sz val="8"/>
      <color theme="0" tint="-0.499984740745262"/>
      <name val="MS Sans Serif"/>
      <family val="2"/>
      <charset val="204"/>
    </font>
    <font>
      <b/>
      <sz val="10"/>
      <color rgb="FF002060"/>
      <name val="Arial Cyr"/>
      <charset val="204"/>
    </font>
    <font>
      <b/>
      <sz val="10"/>
      <color rgb="FF002060"/>
      <name val="MS Sans Serif"/>
      <family val="2"/>
      <charset val="204"/>
    </font>
    <font>
      <sz val="9"/>
      <color theme="0" tint="-0.499984740745262"/>
      <name val="MS Sans Serif"/>
      <family val="2"/>
      <charset val="204"/>
    </font>
    <font>
      <sz val="8"/>
      <name val="Arial Cyr"/>
      <charset val="204"/>
    </font>
    <font>
      <b/>
      <sz val="8"/>
      <name val="Arial Cyr"/>
      <charset val="204"/>
    </font>
    <font>
      <sz val="10"/>
      <color rgb="FF002060"/>
      <name val="Arial Cyr"/>
      <charset val="204"/>
    </font>
    <font>
      <sz val="9"/>
      <color rgb="FFFF0000"/>
      <name val="Arial Cyr"/>
      <charset val="204"/>
    </font>
    <font>
      <b/>
      <sz val="9"/>
      <name val="MS Sans Serif"/>
      <family val="2"/>
      <charset val="204"/>
    </font>
    <font>
      <b/>
      <sz val="12"/>
      <color theme="9" tint="-0.499984740745262"/>
      <name val="MS Sans Serif"/>
      <family val="2"/>
      <charset val="204"/>
    </font>
    <font>
      <sz val="10"/>
      <color theme="9" tint="-0.499984740745262"/>
      <name val="Arial Cyr"/>
      <charset val="204"/>
    </font>
    <font>
      <u/>
      <sz val="8"/>
      <color theme="10"/>
      <name val="Arial Cyr"/>
      <charset val="204"/>
    </font>
    <font>
      <u/>
      <sz val="8"/>
      <color theme="0" tint="-0.34998626667073579"/>
      <name val="Arial Cyr"/>
      <charset val="204"/>
    </font>
    <font>
      <i/>
      <sz val="10"/>
      <color theme="0" tint="-0.499984740745262"/>
      <name val="Arial monospaced for SAP"/>
      <family val="3"/>
    </font>
    <font>
      <sz val="9"/>
      <color theme="9" tint="-0.499984740745262"/>
      <name val="Arial Cyr"/>
      <charset val="204"/>
    </font>
    <font>
      <sz val="1"/>
      <name val="MS Sans Serif"/>
      <family val="2"/>
      <charset val="204"/>
    </font>
    <font>
      <sz val="12"/>
      <color indexed="22"/>
      <name val="MS Sans Serif"/>
      <family val="2"/>
      <charset val="204"/>
    </font>
    <font>
      <sz val="10"/>
      <color indexed="22"/>
      <name val="MS Sans Serif"/>
      <family val="2"/>
      <charset val="204"/>
    </font>
    <font>
      <sz val="8.5"/>
      <color indexed="9"/>
      <name val="MS Sans Serif"/>
      <family val="2"/>
      <charset val="204"/>
    </font>
    <font>
      <sz val="6"/>
      <name val="MS Sans Serif"/>
      <family val="2"/>
      <charset val="204"/>
    </font>
    <font>
      <sz val="12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4"/>
      <name val="MS Sans Serif"/>
      <family val="2"/>
      <charset val="204"/>
    </font>
    <font>
      <sz val="14"/>
      <name val="MS Sans Serif"/>
      <family val="2"/>
      <charset val="204"/>
    </font>
    <font>
      <sz val="13.5"/>
      <name val="Times New Roman"/>
      <family val="1"/>
      <charset val="204"/>
    </font>
    <font>
      <sz val="12"/>
      <color indexed="10"/>
      <name val="Times New Roman"/>
      <family val="1"/>
    </font>
    <font>
      <sz val="13.5"/>
      <name val="MS Sans Serif"/>
      <family val="2"/>
      <charset val="204"/>
    </font>
    <font>
      <sz val="12"/>
      <color indexed="8"/>
      <name val="MS Sans Serif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 Cyr"/>
      <charset val="204"/>
    </font>
    <font>
      <sz val="10"/>
      <color rgb="FFFF000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1"/>
      <name val="Arial Cyr"/>
      <charset val="204"/>
    </font>
    <font>
      <sz val="10"/>
      <color indexed="8"/>
      <name val="Arial Cyr"/>
      <charset val="204"/>
    </font>
    <font>
      <i/>
      <sz val="8"/>
      <color theme="1"/>
      <name val="Arial Cyr"/>
      <charset val="204"/>
    </font>
    <font>
      <sz val="8"/>
      <color theme="0" tint="-0.34998626667073579"/>
      <name val="Arial Cyr"/>
      <charset val="204"/>
    </font>
    <font>
      <sz val="10"/>
      <color theme="3"/>
      <name val="Arial Cyr"/>
      <charset val="204"/>
    </font>
    <font>
      <sz val="10"/>
      <color theme="9" tint="-0.249977111117893"/>
      <name val="Arial Cyr"/>
      <charset val="204"/>
    </font>
    <font>
      <sz val="10"/>
      <color theme="1"/>
      <name val="Arial Cyr"/>
      <charset val="204"/>
    </font>
    <font>
      <b/>
      <sz val="11"/>
      <color rgb="FFFF0000"/>
      <name val="Arial Cyr"/>
      <charset val="204"/>
    </font>
    <font>
      <sz val="9"/>
      <name val="Arial Cyr"/>
      <charset val="204"/>
    </font>
    <font>
      <sz val="11"/>
      <color rgb="FFFF0000"/>
      <name val="Arial Cyr"/>
      <charset val="204"/>
    </font>
    <font>
      <b/>
      <sz val="12"/>
      <name val="Arial Cyr"/>
      <charset val="204"/>
    </font>
    <font>
      <sz val="11"/>
      <name val="Arial Cyr"/>
      <charset val="204"/>
    </font>
    <font>
      <sz val="8.5"/>
      <name val="Arial Cyr"/>
      <charset val="204"/>
    </font>
    <font>
      <sz val="12"/>
      <color rgb="FFFF0000"/>
      <name val="MS Sans Serif"/>
      <family val="2"/>
      <charset val="204"/>
    </font>
    <font>
      <sz val="8"/>
      <color indexed="18"/>
      <name val="MS Sans Serif"/>
      <family val="2"/>
      <charset val="204"/>
    </font>
    <font>
      <sz val="12"/>
      <color indexed="18"/>
      <name val="MS Sans Serif"/>
      <family val="2"/>
      <charset val="204"/>
    </font>
    <font>
      <sz val="12"/>
      <color rgb="FFFF0000"/>
      <name val="Times New Roman"/>
      <family val="1"/>
      <charset val="204"/>
    </font>
    <font>
      <sz val="7"/>
      <name val="Arial"/>
      <family val="2"/>
      <charset val="204"/>
    </font>
    <font>
      <b/>
      <sz val="8"/>
      <name val="MS Sans Serif"/>
      <charset val="204"/>
    </font>
    <font>
      <b/>
      <sz val="8.5"/>
      <name val="MS Sans Serif"/>
      <charset val="204"/>
    </font>
    <font>
      <sz val="8"/>
      <name val="MS Sans Serif"/>
      <charset val="204"/>
    </font>
    <font>
      <sz val="8.5"/>
      <name val="MS Sans Serif"/>
      <charset val="204"/>
    </font>
    <font>
      <sz val="8"/>
      <color rgb="FFFF0000"/>
      <name val="MS Sans Serif"/>
      <charset val="204"/>
    </font>
    <font>
      <sz val="10"/>
      <name val="MS Sans Serif"/>
      <charset val="204"/>
    </font>
    <font>
      <sz val="4"/>
      <color rgb="FFFF0000"/>
      <name val="MS Sans Serif"/>
      <charset val="204"/>
    </font>
    <font>
      <sz val="4"/>
      <name val="MS Sans Serif"/>
      <charset val="204"/>
    </font>
    <font>
      <sz val="9"/>
      <name val="MS Sans Serif"/>
      <charset val="204"/>
    </font>
    <font>
      <sz val="9"/>
      <color rgb="FFFF0000"/>
      <name val="MS Sans Serif"/>
      <charset val="204"/>
    </font>
    <font>
      <b/>
      <sz val="12"/>
      <color indexed="22"/>
      <name val="MS Sans Serif"/>
      <charset val="204"/>
    </font>
    <font>
      <b/>
      <sz val="10"/>
      <color indexed="22"/>
      <name val="MS Sans Serif"/>
      <charset val="204"/>
    </font>
    <font>
      <b/>
      <sz val="12"/>
      <name val="MS Sans Serif"/>
      <charset val="204"/>
    </font>
    <font>
      <b/>
      <sz val="12"/>
      <name val="Times New Roman"/>
      <family val="1"/>
      <charset val="204"/>
    </font>
    <font>
      <strike/>
      <sz val="9"/>
      <name val="Cambria"/>
      <family val="1"/>
      <charset val="204"/>
    </font>
    <font>
      <strike/>
      <sz val="8"/>
      <color theme="0" tint="-0.499984740745262"/>
      <name val="Cambria"/>
      <family val="1"/>
      <charset val="204"/>
    </font>
    <font>
      <strike/>
      <sz val="10"/>
      <name val="Cambria"/>
      <family val="1"/>
      <charset val="204"/>
    </font>
    <font>
      <b/>
      <strike/>
      <sz val="10"/>
      <color rgb="FF002060"/>
      <name val="Cambria"/>
      <family val="1"/>
      <charset val="204"/>
    </font>
    <font>
      <sz val="8"/>
      <color theme="0" tint="-0.499984740745262"/>
      <name val="Cambria"/>
      <family val="1"/>
      <charset val="204"/>
    </font>
    <font>
      <sz val="18"/>
      <color theme="0" tint="-0.499984740745262"/>
      <name val="Cambria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sz val="9"/>
      <name val="Cambria"/>
      <family val="1"/>
      <charset val="204"/>
    </font>
    <font>
      <b/>
      <sz val="10"/>
      <color rgb="FF002060"/>
      <name val="Cambria"/>
      <family val="1"/>
      <charset val="204"/>
    </font>
    <font>
      <b/>
      <sz val="9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2"/>
      <color theme="0"/>
      <name val="MS Sans Serif"/>
      <family val="2"/>
      <charset val="204"/>
    </font>
    <font>
      <sz val="13.5"/>
      <color theme="0"/>
      <name val="MS Sans Serif"/>
      <family val="2"/>
      <charset val="204"/>
    </font>
    <font>
      <sz val="12"/>
      <color theme="0"/>
      <name val="Times New Roman"/>
      <family val="1"/>
      <charset val="204"/>
    </font>
    <font>
      <sz val="8.5"/>
      <color indexed="22"/>
      <name val="MS Sans Serif"/>
      <family val="2"/>
      <charset val="204"/>
    </font>
    <font>
      <sz val="7.5"/>
      <name val="MS Sans Serif"/>
      <family val="2"/>
      <charset val="204"/>
    </font>
    <font>
      <sz val="12"/>
      <color theme="0" tint="-0.499984740745262"/>
      <name val="MS Sans Serif"/>
      <family val="2"/>
      <charset val="204"/>
    </font>
    <font>
      <b/>
      <sz val="8.5"/>
      <color theme="0" tint="-0.499984740745262"/>
      <name val="MS Sans Serif"/>
      <family val="2"/>
      <charset val="204"/>
    </font>
    <font>
      <sz val="6.5"/>
      <color theme="0" tint="-0.499984740745262"/>
      <name val="MS Sans Serif"/>
      <family val="2"/>
      <charset val="204"/>
    </font>
    <font>
      <sz val="8.5"/>
      <color theme="0" tint="-0.499984740745262"/>
      <name val="MS Sans Serif"/>
      <family val="2"/>
      <charset val="204"/>
    </font>
    <font>
      <b/>
      <sz val="8"/>
      <color rgb="FF7030A0"/>
      <name val="MS Sans Serif"/>
      <charset val="204"/>
    </font>
    <font>
      <b/>
      <sz val="12"/>
      <color rgb="FF7030A0"/>
      <name val="MS Sans Serif"/>
      <charset val="204"/>
    </font>
    <font>
      <b/>
      <sz val="12"/>
      <color rgb="FF7030A0"/>
      <name val="MS Sans Serif"/>
      <family val="2"/>
      <charset val="204"/>
    </font>
    <font>
      <b/>
      <sz val="12"/>
      <color rgb="FF7030A0"/>
      <name val="Times New Roman"/>
      <family val="1"/>
      <charset val="204"/>
    </font>
    <font>
      <b/>
      <sz val="8"/>
      <color rgb="FF7030A0"/>
      <name val="MS Sans Serif"/>
      <family val="2"/>
      <charset val="204"/>
    </font>
    <font>
      <sz val="12"/>
      <name val="MS Sans Serif"/>
      <charset val="204"/>
    </font>
    <font>
      <b/>
      <sz val="8.5"/>
      <color rgb="FF7030A0"/>
      <name val="MS Sans Serif"/>
      <charset val="204"/>
    </font>
    <font>
      <sz val="12"/>
      <color rgb="FF7030A0"/>
      <name val="Times New Roman"/>
      <family val="1"/>
      <charset val="204"/>
    </font>
    <font>
      <sz val="8"/>
      <color rgb="FF7030A0"/>
      <name val="MS Sans Serif"/>
      <family val="2"/>
      <charset val="204"/>
    </font>
    <font>
      <b/>
      <sz val="14"/>
      <color theme="0"/>
      <name val="MS Sans Serif"/>
      <family val="2"/>
      <charset val="204"/>
    </font>
    <font>
      <sz val="8.5"/>
      <color theme="0"/>
      <name val="MS Sans Serif"/>
      <family val="2"/>
      <charset val="204"/>
    </font>
    <font>
      <sz val="14"/>
      <color theme="0"/>
      <name val="MS Sans Serif"/>
      <family val="2"/>
      <charset val="204"/>
    </font>
    <font>
      <sz val="8"/>
      <color theme="0"/>
      <name val="MS Sans Serif"/>
      <family val="2"/>
      <charset val="204"/>
    </font>
    <font>
      <sz val="9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sz val="9"/>
      <color theme="0" tint="-0.499984740745262"/>
      <name val="Arial Cyr"/>
      <charset val="204"/>
    </font>
  </fonts>
  <fills count="47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4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8"/>
        <bgColor indexed="39"/>
      </patternFill>
    </fill>
    <fill>
      <patternFill patternType="solid">
        <fgColor indexed="25"/>
        <bgColor indexed="61"/>
      </patternFill>
    </fill>
    <fill>
      <patternFill patternType="solid">
        <fgColor indexed="22"/>
        <bgColor indexed="31"/>
      </patternFill>
    </fill>
    <fill>
      <patternFill patternType="solid">
        <fgColor indexed="58"/>
        <bgColor indexed="59"/>
      </patternFill>
    </fill>
    <fill>
      <patternFill patternType="solid">
        <fgColor indexed="40"/>
        <bgColor indexed="49"/>
      </patternFill>
    </fill>
    <fill>
      <patternFill patternType="solid">
        <fgColor indexed="57"/>
        <bgColor indexed="21"/>
      </patternFill>
    </fill>
    <fill>
      <patternFill patternType="solid">
        <fgColor indexed="60"/>
        <bgColor indexed="25"/>
      </patternFill>
    </fill>
    <fill>
      <patternFill patternType="solid">
        <fgColor indexed="50"/>
        <bgColor indexed="51"/>
      </patternFill>
    </fill>
    <fill>
      <patternFill patternType="solid">
        <fgColor indexed="18"/>
        <bgColor indexed="32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indexed="15"/>
        <bgColor indexed="35"/>
      </patternFill>
    </fill>
    <fill>
      <patternFill patternType="solid">
        <fgColor indexed="24"/>
        <bgColor indexed="31"/>
      </patternFill>
    </fill>
    <fill>
      <patternFill patternType="solid">
        <fgColor indexed="39"/>
        <bgColor indexed="48"/>
      </patternFill>
    </fill>
    <fill>
      <patternFill patternType="solid">
        <fgColor indexed="19"/>
        <b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12"/>
        <bgColor indexed="18"/>
      </patternFill>
    </fill>
    <fill>
      <patternFill patternType="solid">
        <fgColor indexed="10"/>
        <bgColor indexed="60"/>
      </patternFill>
    </fill>
    <fill>
      <patternFill patternType="solid">
        <fgColor indexed="41"/>
        <bgColor indexed="44"/>
      </patternFill>
    </fill>
    <fill>
      <patternFill patternType="solid">
        <fgColor indexed="23"/>
        <bgColor indexed="55"/>
      </patternFill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347">
    <xf numFmtId="0" fontId="0" fillId="0" borderId="0"/>
    <xf numFmtId="0" fontId="11" fillId="0" borderId="0"/>
    <xf numFmtId="4" fontId="12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169" fontId="15" fillId="0" borderId="0">
      <alignment horizont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7" borderId="0" applyNumberFormat="0" applyBorder="0" applyAlignment="0" applyProtection="0"/>
    <xf numFmtId="0" fontId="19" fillId="2" borderId="0" applyNumberFormat="0" applyBorder="0" applyAlignment="0" applyProtection="0"/>
    <xf numFmtId="0" fontId="19" fillId="20" borderId="0" applyNumberFormat="0" applyBorder="0" applyAlignment="0" applyProtection="0"/>
    <xf numFmtId="0" fontId="18" fillId="3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9" fillId="2" borderId="0" applyNumberFormat="0" applyBorder="0" applyAlignment="0" applyProtection="0"/>
    <xf numFmtId="0" fontId="19" fillId="25" borderId="0" applyNumberFormat="0" applyBorder="0" applyAlignment="0" applyProtection="0"/>
    <xf numFmtId="0" fontId="18" fillId="20" borderId="0" applyNumberFormat="0" applyBorder="0" applyAlignment="0" applyProtection="0"/>
    <xf numFmtId="0" fontId="18" fillId="19" borderId="0" applyNumberFormat="0" applyBorder="0" applyAlignment="0" applyProtection="0"/>
    <xf numFmtId="0" fontId="19" fillId="6" borderId="0" applyNumberFormat="0" applyBorder="0" applyAlignment="0" applyProtection="0"/>
    <xf numFmtId="0" fontId="19" fillId="26" borderId="0" applyNumberFormat="0" applyBorder="0" applyAlignment="0" applyProtection="0"/>
    <xf numFmtId="0" fontId="18" fillId="19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7" borderId="0" applyNumberFormat="0" applyBorder="0" applyAlignment="0" applyProtection="0"/>
    <xf numFmtId="0" fontId="18" fillId="11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1" applyNumberFormat="0" applyAlignment="0" applyProtection="0"/>
    <xf numFmtId="0" fontId="22" fillId="24" borderId="2" applyNumberFormat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19" fillId="10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28" fillId="7" borderId="1" applyNumberFormat="0" applyAlignment="0" applyProtection="0"/>
    <xf numFmtId="0" fontId="29" fillId="0" borderId="6" applyNumberFormat="0" applyFill="0" applyAlignment="0" applyProtection="0"/>
    <xf numFmtId="0" fontId="2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0" borderId="0"/>
    <xf numFmtId="0" fontId="14" fillId="28" borderId="1" applyNumberFormat="0" applyAlignment="0" applyProtection="0"/>
    <xf numFmtId="0" fontId="14" fillId="28" borderId="1" applyNumberFormat="0" applyAlignment="0" applyProtection="0"/>
    <xf numFmtId="0" fontId="30" fillId="29" borderId="7" applyNumberFormat="0" applyAlignment="0" applyProtection="0"/>
    <xf numFmtId="0" fontId="31" fillId="33" borderId="1" applyNumberFormat="0" applyProtection="0">
      <alignment vertical="center"/>
    </xf>
    <xf numFmtId="0" fontId="32" fillId="33" borderId="1" applyNumberFormat="0" applyProtection="0">
      <alignment vertical="center"/>
    </xf>
    <xf numFmtId="0" fontId="31" fillId="33" borderId="1" applyNumberFormat="0" applyProtection="0">
      <alignment horizontal="left" vertical="center" indent="1"/>
    </xf>
    <xf numFmtId="0" fontId="33" fillId="33" borderId="8" applyNumberFormat="0" applyProtection="0">
      <alignment horizontal="left" vertical="top" indent="1"/>
    </xf>
    <xf numFmtId="0" fontId="31" fillId="14" borderId="1" applyNumberFormat="0" applyProtection="0">
      <alignment horizontal="left" vertical="center" indent="1"/>
    </xf>
    <xf numFmtId="0" fontId="31" fillId="3" borderId="1" applyNumberFormat="0" applyProtection="0">
      <alignment horizontal="right" vertical="center"/>
    </xf>
    <xf numFmtId="0" fontId="31" fillId="34" borderId="1" applyNumberFormat="0" applyProtection="0">
      <alignment horizontal="right" vertical="center"/>
    </xf>
    <xf numFmtId="0" fontId="31" fillId="35" borderId="9" applyNumberFormat="0" applyProtection="0">
      <alignment horizontal="right" vertical="center"/>
    </xf>
    <xf numFmtId="0" fontId="31" fillId="11" borderId="1" applyNumberFormat="0" applyProtection="0">
      <alignment horizontal="right" vertical="center"/>
    </xf>
    <xf numFmtId="0" fontId="31" fillId="15" borderId="1" applyNumberFormat="0" applyProtection="0">
      <alignment horizontal="right" vertical="center"/>
    </xf>
    <xf numFmtId="0" fontId="31" fillId="27" borderId="1" applyNumberFormat="0" applyProtection="0">
      <alignment horizontal="right" vertical="center"/>
    </xf>
    <xf numFmtId="0" fontId="31" fillId="21" borderId="1" applyNumberFormat="0" applyProtection="0">
      <alignment horizontal="right" vertical="center"/>
    </xf>
    <xf numFmtId="0" fontId="31" fillId="23" borderId="1" applyNumberFormat="0" applyProtection="0">
      <alignment horizontal="right" vertical="center"/>
    </xf>
    <xf numFmtId="0" fontId="31" fillId="10" borderId="1" applyNumberFormat="0" applyProtection="0">
      <alignment horizontal="right" vertical="center"/>
    </xf>
    <xf numFmtId="0" fontId="31" fillId="36" borderId="9" applyNumberFormat="0" applyProtection="0">
      <alignment horizontal="left" vertical="center" indent="1"/>
    </xf>
    <xf numFmtId="0" fontId="34" fillId="26" borderId="9" applyNumberFormat="0" applyProtection="0">
      <alignment horizontal="left" vertical="center" indent="1"/>
    </xf>
    <xf numFmtId="0" fontId="34" fillId="26" borderId="9" applyNumberFormat="0" applyProtection="0">
      <alignment horizontal="left" vertical="center" indent="1"/>
    </xf>
    <xf numFmtId="0" fontId="31" fillId="20" borderId="1" applyNumberFormat="0" applyProtection="0">
      <alignment horizontal="right" vertical="center"/>
    </xf>
    <xf numFmtId="0" fontId="31" fillId="6" borderId="9" applyNumberFormat="0" applyProtection="0">
      <alignment horizontal="left" vertical="center" indent="1"/>
    </xf>
    <xf numFmtId="0" fontId="31" fillId="20" borderId="9" applyNumberFormat="0" applyProtection="0">
      <alignment horizontal="left" vertical="center" indent="1"/>
    </xf>
    <xf numFmtId="0" fontId="31" fillId="18" borderId="1" applyNumberFormat="0" applyProtection="0">
      <alignment horizontal="left" vertical="center" indent="1"/>
    </xf>
    <xf numFmtId="0" fontId="35" fillId="26" borderId="8" applyNumberFormat="0" applyProtection="0">
      <alignment horizontal="left" vertical="top" indent="1"/>
    </xf>
    <xf numFmtId="0" fontId="35" fillId="26" borderId="8" applyNumberFormat="0" applyProtection="0">
      <alignment horizontal="left" vertical="top" indent="1"/>
    </xf>
    <xf numFmtId="0" fontId="31" fillId="37" borderId="1" applyNumberFormat="0" applyProtection="0">
      <alignment horizontal="left" vertical="center" indent="1"/>
    </xf>
    <xf numFmtId="0" fontId="35" fillId="20" borderId="8" applyNumberFormat="0" applyProtection="0">
      <alignment horizontal="left" vertical="top" indent="1"/>
    </xf>
    <xf numFmtId="0" fontId="35" fillId="20" borderId="8" applyNumberFormat="0" applyProtection="0">
      <alignment horizontal="left" vertical="top" indent="1"/>
    </xf>
    <xf numFmtId="0" fontId="31" fillId="8" borderId="1" applyNumberFormat="0" applyProtection="0">
      <alignment horizontal="left" vertical="center" indent="1"/>
    </xf>
    <xf numFmtId="0" fontId="35" fillId="8" borderId="8" applyNumberFormat="0" applyProtection="0">
      <alignment horizontal="left" vertical="top" indent="1"/>
    </xf>
    <xf numFmtId="0" fontId="35" fillId="8" borderId="8" applyNumberFormat="0" applyProtection="0">
      <alignment horizontal="left" vertical="top" indent="1"/>
    </xf>
    <xf numFmtId="0" fontId="31" fillId="6" borderId="1" applyNumberFormat="0" applyProtection="0">
      <alignment horizontal="left" vertical="center" indent="1"/>
    </xf>
    <xf numFmtId="0" fontId="35" fillId="6" borderId="8" applyNumberFormat="0" applyProtection="0">
      <alignment horizontal="left" vertical="top" indent="1"/>
    </xf>
    <xf numFmtId="0" fontId="35" fillId="6" borderId="8" applyNumberFormat="0" applyProtection="0">
      <alignment horizontal="left" vertical="top" indent="1"/>
    </xf>
    <xf numFmtId="0" fontId="35" fillId="38" borderId="10" applyNumberFormat="0">
      <protection locked="0"/>
    </xf>
    <xf numFmtId="0" fontId="35" fillId="38" borderId="10" applyNumberFormat="0">
      <protection locked="0"/>
    </xf>
    <xf numFmtId="0" fontId="36" fillId="26" borderId="0" applyBorder="0"/>
    <xf numFmtId="0" fontId="37" fillId="28" borderId="8" applyNumberFormat="0" applyProtection="0">
      <alignment vertical="center"/>
    </xf>
    <xf numFmtId="0" fontId="32" fillId="28" borderId="9" applyNumberFormat="0" applyProtection="0">
      <alignment vertical="center"/>
    </xf>
    <xf numFmtId="0" fontId="37" fillId="18" borderId="8" applyNumberFormat="0" applyProtection="0">
      <alignment horizontal="left" vertical="center" indent="1"/>
    </xf>
    <xf numFmtId="0" fontId="37" fillId="28" borderId="8" applyNumberFormat="0" applyProtection="0">
      <alignment horizontal="left" vertical="top" indent="1"/>
    </xf>
    <xf numFmtId="0" fontId="31" fillId="0" borderId="1" applyNumberFormat="0" applyProtection="0">
      <alignment horizontal="right" vertical="center"/>
    </xf>
    <xf numFmtId="0" fontId="32" fillId="38" borderId="1" applyNumberFormat="0" applyProtection="0">
      <alignment horizontal="right" vertical="center"/>
    </xf>
    <xf numFmtId="0" fontId="31" fillId="14" borderId="1" applyNumberFormat="0" applyProtection="0">
      <alignment horizontal="left" vertical="center" indent="1"/>
    </xf>
    <xf numFmtId="0" fontId="37" fillId="20" borderId="8" applyNumberFormat="0" applyProtection="0">
      <alignment horizontal="left" vertical="top" indent="1"/>
    </xf>
    <xf numFmtId="0" fontId="38" fillId="29" borderId="9" applyNumberFormat="0" applyProtection="0">
      <alignment horizontal="left" vertical="center" indent="1"/>
    </xf>
    <xf numFmtId="0" fontId="31" fillId="13" borderId="9"/>
    <xf numFmtId="0" fontId="39" fillId="38" borderId="1" applyNumberFormat="0" applyProtection="0">
      <alignment horizontal="right" vertical="center"/>
    </xf>
    <xf numFmtId="0" fontId="40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42" fillId="7" borderId="12" applyNumberFormat="0" applyAlignment="0" applyProtection="0"/>
    <xf numFmtId="0" fontId="42" fillId="7" borderId="12" applyNumberFormat="0" applyAlignment="0" applyProtection="0"/>
    <xf numFmtId="0" fontId="42" fillId="7" borderId="12" applyNumberFormat="0" applyAlignment="0" applyProtection="0"/>
    <xf numFmtId="0" fontId="42" fillId="7" borderId="12" applyNumberFormat="0" applyAlignment="0" applyProtection="0"/>
    <xf numFmtId="0" fontId="43" fillId="18" borderId="7" applyNumberFormat="0" applyAlignment="0" applyProtection="0"/>
    <xf numFmtId="0" fontId="43" fillId="18" borderId="7" applyNumberFormat="0" applyAlignment="0" applyProtection="0"/>
    <xf numFmtId="0" fontId="43" fillId="18" borderId="7" applyNumberFormat="0" applyAlignment="0" applyProtection="0"/>
    <xf numFmtId="0" fontId="43" fillId="18" borderId="7" applyNumberFormat="0" applyAlignment="0" applyProtection="0"/>
    <xf numFmtId="0" fontId="44" fillId="18" borderId="12" applyNumberFormat="0" applyAlignment="0" applyProtection="0"/>
    <xf numFmtId="0" fontId="44" fillId="18" borderId="12" applyNumberFormat="0" applyAlignment="0" applyProtection="0"/>
    <xf numFmtId="0" fontId="44" fillId="18" borderId="12" applyNumberFormat="0" applyAlignment="0" applyProtection="0"/>
    <xf numFmtId="0" fontId="44" fillId="18" borderId="12" applyNumberFormat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0" fontId="49" fillId="25" borderId="2" applyNumberFormat="0" applyAlignment="0" applyProtection="0"/>
    <xf numFmtId="0" fontId="49" fillId="25" borderId="2" applyNumberFormat="0" applyAlignment="0" applyProtection="0"/>
    <xf numFmtId="0" fontId="49" fillId="25" borderId="2" applyNumberFormat="0" applyAlignment="0" applyProtection="0"/>
    <xf numFmtId="0" fontId="49" fillId="25" borderId="2" applyNumberFormat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1" fillId="0" borderId="0"/>
    <xf numFmtId="0" fontId="14" fillId="0" borderId="0"/>
    <xf numFmtId="0" fontId="7" fillId="0" borderId="0"/>
    <xf numFmtId="0" fontId="14" fillId="0" borderId="0"/>
    <xf numFmtId="0" fontId="51" fillId="0" borderId="0">
      <alignment vertical="center"/>
    </xf>
    <xf numFmtId="0" fontId="51" fillId="0" borderId="0">
      <alignment vertical="center"/>
    </xf>
    <xf numFmtId="0" fontId="14" fillId="0" borderId="0"/>
    <xf numFmtId="0" fontId="4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51" fillId="0" borderId="0">
      <alignment vertical="center"/>
    </xf>
    <xf numFmtId="0" fontId="14" fillId="0" borderId="0"/>
    <xf numFmtId="0" fontId="14" fillId="0" borderId="0"/>
    <xf numFmtId="0" fontId="4" fillId="0" borderId="0"/>
    <xf numFmtId="0" fontId="7" fillId="0" borderId="0"/>
    <xf numFmtId="0" fontId="4" fillId="0" borderId="0"/>
    <xf numFmtId="0" fontId="14" fillId="0" borderId="0"/>
    <xf numFmtId="0" fontId="4" fillId="0" borderId="0"/>
    <xf numFmtId="0" fontId="7" fillId="0" borderId="0"/>
    <xf numFmtId="0" fontId="4" fillId="0" borderId="0"/>
    <xf numFmtId="0" fontId="14" fillId="0" borderId="0"/>
    <xf numFmtId="0" fontId="4" fillId="0" borderId="0"/>
    <xf numFmtId="0" fontId="7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4" fillId="0" borderId="0"/>
    <xf numFmtId="0" fontId="4" fillId="0" borderId="0"/>
    <xf numFmtId="0" fontId="7" fillId="0" borderId="0"/>
    <xf numFmtId="0" fontId="4" fillId="0" borderId="0"/>
    <xf numFmtId="0" fontId="14" fillId="0" borderId="0"/>
    <xf numFmtId="0" fontId="4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51" fillId="0" borderId="0"/>
    <xf numFmtId="0" fontId="14" fillId="0" borderId="0"/>
    <xf numFmtId="0" fontId="4" fillId="0" borderId="0"/>
    <xf numFmtId="0" fontId="7" fillId="0" borderId="0"/>
    <xf numFmtId="0" fontId="14" fillId="0" borderId="0"/>
    <xf numFmtId="0" fontId="14" fillId="0" borderId="0"/>
    <xf numFmtId="0" fontId="51" fillId="0" borderId="0"/>
    <xf numFmtId="0" fontId="14" fillId="0" borderId="0"/>
    <xf numFmtId="0" fontId="14" fillId="0" borderId="0"/>
    <xf numFmtId="0" fontId="14" fillId="0" borderId="0"/>
    <xf numFmtId="0" fontId="51" fillId="0" borderId="0"/>
    <xf numFmtId="0" fontId="14" fillId="0" borderId="0"/>
    <xf numFmtId="0" fontId="48" fillId="0" borderId="0"/>
    <xf numFmtId="0" fontId="6" fillId="0" borderId="0"/>
    <xf numFmtId="0" fontId="14" fillId="0" borderId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4" fillId="28" borderId="13" applyNumberFormat="0" applyAlignment="0" applyProtection="0"/>
    <xf numFmtId="0" fontId="14" fillId="28" borderId="13" applyNumberFormat="0" applyAlignment="0" applyProtection="0"/>
    <xf numFmtId="0" fontId="14" fillId="28" borderId="13" applyNumberFormat="0" applyAlignment="0" applyProtection="0"/>
    <xf numFmtId="0" fontId="14" fillId="28" borderId="13" applyNumberFormat="0" applyAlignment="0" applyProtection="0"/>
    <xf numFmtId="0" fontId="13" fillId="0" borderId="0"/>
    <xf numFmtId="171" fontId="14" fillId="0" borderId="0" applyFill="0" applyBorder="0" applyAlignment="0" applyProtection="0"/>
    <xf numFmtId="170" fontId="14" fillId="0" borderId="0" applyFill="0" applyBorder="0" applyAlignment="0" applyProtection="0"/>
    <xf numFmtId="170" fontId="14" fillId="0" borderId="0" applyFill="0" applyBorder="0" applyAlignment="0" applyProtection="0"/>
    <xf numFmtId="170" fontId="14" fillId="0" borderId="0" applyFill="0" applyBorder="0" applyAlignment="0" applyProtection="0"/>
    <xf numFmtId="170" fontId="14" fillId="0" borderId="0" applyFill="0" applyBorder="0" applyAlignment="0" applyProtection="0"/>
    <xf numFmtId="170" fontId="14" fillId="0" borderId="0" applyFill="0" applyBorder="0" applyAlignment="0" applyProtection="0"/>
    <xf numFmtId="166" fontId="4" fillId="0" borderId="0" applyFont="0" applyFill="0" applyBorder="0" applyAlignment="0" applyProtection="0"/>
    <xf numFmtId="170" fontId="14" fillId="0" borderId="0" applyFill="0" applyBorder="0" applyAlignment="0" applyProtection="0"/>
    <xf numFmtId="170" fontId="14" fillId="0" borderId="0" applyFill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165" fontId="4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/>
    <xf numFmtId="0" fontId="6" fillId="0" borderId="0"/>
    <xf numFmtId="0" fontId="4" fillId="0" borderId="0"/>
    <xf numFmtId="0" fontId="4" fillId="0" borderId="0"/>
    <xf numFmtId="0" fontId="9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</cellStyleXfs>
  <cellXfs count="1176">
    <xf numFmtId="0" fontId="0" fillId="0" borderId="0" xfId="0"/>
    <xf numFmtId="167" fontId="8" fillId="0" borderId="0" xfId="301" applyNumberFormat="1" applyFont="1" applyAlignment="1">
      <alignment vertical="center" wrapText="1"/>
    </xf>
    <xf numFmtId="164" fontId="8" fillId="0" borderId="0" xfId="301" applyNumberFormat="1" applyFont="1" applyAlignment="1">
      <alignment horizontal="right" vertical="center" wrapText="1"/>
    </xf>
    <xf numFmtId="167" fontId="5" fillId="0" borderId="0" xfId="301" applyNumberFormat="1" applyFont="1" applyAlignment="1">
      <alignment horizontal="center" vertical="center" wrapText="1"/>
    </xf>
    <xf numFmtId="49" fontId="5" fillId="0" borderId="14" xfId="301" applyNumberFormat="1" applyFont="1" applyBorder="1" applyAlignment="1">
      <alignment horizontal="center" vertical="center" wrapText="1"/>
    </xf>
    <xf numFmtId="49" fontId="5" fillId="0" borderId="15" xfId="301" applyNumberFormat="1" applyFont="1" applyBorder="1" applyAlignment="1">
      <alignment horizontal="center" vertical="center" wrapText="1"/>
    </xf>
    <xf numFmtId="49" fontId="5" fillId="0" borderId="18" xfId="301" applyNumberFormat="1" applyFont="1" applyBorder="1" applyAlignment="1">
      <alignment horizontal="center" vertical="center" wrapText="1"/>
    </xf>
    <xf numFmtId="49" fontId="5" fillId="0" borderId="21" xfId="301" applyNumberFormat="1" applyFont="1" applyBorder="1" applyAlignment="1">
      <alignment horizontal="center" vertical="center" wrapText="1"/>
    </xf>
    <xf numFmtId="0" fontId="51" fillId="0" borderId="0" xfId="303" applyFont="1" applyAlignment="1">
      <alignment vertical="center" wrapText="1"/>
    </xf>
    <xf numFmtId="167" fontId="6" fillId="0" borderId="0" xfId="301" applyNumberFormat="1" applyFont="1" applyAlignment="1">
      <alignment vertical="center" wrapText="1"/>
    </xf>
    <xf numFmtId="167" fontId="6" fillId="0" borderId="0" xfId="301" applyNumberFormat="1" applyFont="1" applyAlignment="1">
      <alignment horizontal="center" vertical="center" wrapText="1"/>
    </xf>
    <xf numFmtId="164" fontId="5" fillId="0" borderId="17" xfId="301" applyNumberFormat="1" applyFont="1" applyBorder="1" applyAlignment="1">
      <alignment horizontal="center" vertical="center" wrapText="1"/>
    </xf>
    <xf numFmtId="164" fontId="5" fillId="0" borderId="18" xfId="301" applyNumberFormat="1" applyFont="1" applyBorder="1" applyAlignment="1">
      <alignment horizontal="center" vertical="center" wrapText="1"/>
    </xf>
    <xf numFmtId="164" fontId="5" fillId="0" borderId="20" xfId="301" applyNumberFormat="1" applyFont="1" applyBorder="1" applyAlignment="1">
      <alignment horizontal="center" vertical="center" wrapText="1"/>
    </xf>
    <xf numFmtId="164" fontId="5" fillId="0" borderId="21" xfId="301" applyNumberFormat="1" applyFont="1" applyBorder="1" applyAlignment="1">
      <alignment horizontal="left" vertical="center" wrapText="1" indent="2"/>
    </xf>
    <xf numFmtId="164" fontId="5" fillId="0" borderId="21" xfId="301" applyNumberFormat="1" applyFont="1" applyBorder="1" applyAlignment="1">
      <alignment horizontal="left" vertical="center" wrapText="1"/>
    </xf>
    <xf numFmtId="164" fontId="55" fillId="0" borderId="21" xfId="301" applyNumberFormat="1" applyFont="1" applyBorder="1" applyAlignment="1">
      <alignment horizontal="left" vertical="center" wrapText="1"/>
    </xf>
    <xf numFmtId="167" fontId="56" fillId="0" borderId="0" xfId="301" applyNumberFormat="1" applyFont="1" applyAlignment="1">
      <alignment vertical="center" wrapText="1"/>
    </xf>
    <xf numFmtId="167" fontId="56" fillId="0" borderId="0" xfId="301" applyNumberFormat="1" applyFont="1" applyAlignment="1">
      <alignment horizontal="left" vertical="center" wrapText="1"/>
    </xf>
    <xf numFmtId="49" fontId="56" fillId="0" borderId="0" xfId="301" applyNumberFormat="1" applyFont="1" applyAlignment="1">
      <alignment vertical="center" wrapText="1"/>
    </xf>
    <xf numFmtId="167" fontId="56" fillId="0" borderId="0" xfId="301" applyNumberFormat="1" applyFont="1" applyAlignment="1">
      <alignment horizontal="right" vertical="center" wrapText="1"/>
    </xf>
    <xf numFmtId="167" fontId="56" fillId="0" borderId="0" xfId="301" applyNumberFormat="1" applyFont="1" applyAlignment="1">
      <alignment horizontal="center" vertical="center" wrapText="1"/>
    </xf>
    <xf numFmtId="164" fontId="5" fillId="0" borderId="0" xfId="301" applyNumberFormat="1" applyFont="1" applyAlignment="1">
      <alignment horizontal="right" vertical="center" wrapText="1" indent="1"/>
    </xf>
    <xf numFmtId="49" fontId="5" fillId="0" borderId="24" xfId="301" applyNumberFormat="1" applyFont="1" applyBorder="1" applyAlignment="1">
      <alignment horizontal="center" vertical="center" wrapText="1"/>
    </xf>
    <xf numFmtId="164" fontId="5" fillId="0" borderId="25" xfId="301" applyNumberFormat="1" applyFont="1" applyBorder="1" applyAlignment="1">
      <alignment horizontal="center" vertical="center" wrapText="1"/>
    </xf>
    <xf numFmtId="164" fontId="55" fillId="0" borderId="26" xfId="301" applyNumberFormat="1" applyFont="1" applyBorder="1" applyAlignment="1">
      <alignment horizontal="left" vertical="center" wrapText="1"/>
    </xf>
    <xf numFmtId="49" fontId="5" fillId="0" borderId="26" xfId="301" applyNumberFormat="1" applyFont="1" applyBorder="1" applyAlignment="1">
      <alignment horizontal="center" vertical="center" wrapText="1"/>
    </xf>
    <xf numFmtId="164" fontId="5" fillId="0" borderId="23" xfId="301" applyNumberFormat="1" applyFont="1" applyBorder="1" applyAlignment="1">
      <alignment horizontal="center" vertical="center" wrapText="1"/>
    </xf>
    <xf numFmtId="164" fontId="5" fillId="0" borderId="24" xfId="301" applyNumberFormat="1" applyFont="1" applyBorder="1" applyAlignment="1">
      <alignment horizontal="left" vertical="center" wrapText="1"/>
    </xf>
    <xf numFmtId="168" fontId="5" fillId="0" borderId="21" xfId="301" applyNumberFormat="1" applyFont="1" applyBorder="1" applyAlignment="1">
      <alignment horizontal="right" vertical="center" wrapText="1"/>
    </xf>
    <xf numFmtId="168" fontId="5" fillId="0" borderId="22" xfId="301" applyNumberFormat="1" applyFont="1" applyBorder="1" applyAlignment="1">
      <alignment horizontal="right" vertical="center" wrapText="1"/>
    </xf>
    <xf numFmtId="168" fontId="5" fillId="0" borderId="24" xfId="301" applyNumberFormat="1" applyFont="1" applyBorder="1" applyAlignment="1">
      <alignment horizontal="right" vertical="center" wrapText="1"/>
    </xf>
    <xf numFmtId="168" fontId="5" fillId="0" borderId="29" xfId="301" applyNumberFormat="1" applyFont="1" applyBorder="1" applyAlignment="1">
      <alignment horizontal="right" vertical="center" wrapText="1"/>
    </xf>
    <xf numFmtId="168" fontId="5" fillId="0" borderId="26" xfId="301" applyNumberFormat="1" applyFont="1" applyBorder="1" applyAlignment="1">
      <alignment horizontal="right" vertical="center" wrapText="1"/>
    </xf>
    <xf numFmtId="168" fontId="5" fillId="0" borderId="33" xfId="301" applyNumberFormat="1" applyFont="1" applyBorder="1" applyAlignment="1">
      <alignment horizontal="right" vertical="center" wrapText="1"/>
    </xf>
    <xf numFmtId="49" fontId="5" fillId="0" borderId="34" xfId="301" applyNumberFormat="1" applyFont="1" applyBorder="1" applyAlignment="1">
      <alignment horizontal="center" vertical="center" wrapText="1"/>
    </xf>
    <xf numFmtId="164" fontId="5" fillId="0" borderId="35" xfId="301" applyNumberFormat="1" applyFont="1" applyBorder="1" applyAlignment="1">
      <alignment horizontal="center" vertical="center" wrapText="1"/>
    </xf>
    <xf numFmtId="164" fontId="5" fillId="0" borderId="34" xfId="301" applyNumberFormat="1" applyFont="1" applyBorder="1" applyAlignment="1">
      <alignment horizontal="left" vertical="center" wrapText="1"/>
    </xf>
    <xf numFmtId="168" fontId="5" fillId="0" borderId="34" xfId="301" applyNumberFormat="1" applyFont="1" applyBorder="1" applyAlignment="1">
      <alignment horizontal="right" vertical="center" wrapText="1"/>
    </xf>
    <xf numFmtId="168" fontId="5" fillId="0" borderId="36" xfId="301" applyNumberFormat="1" applyFont="1" applyBorder="1" applyAlignment="1">
      <alignment horizontal="right" vertical="center" wrapText="1"/>
    </xf>
    <xf numFmtId="164" fontId="5" fillId="0" borderId="37" xfId="301" applyNumberFormat="1" applyFont="1" applyBorder="1" applyAlignment="1">
      <alignment horizontal="left" vertical="center" wrapText="1"/>
    </xf>
    <xf numFmtId="49" fontId="5" fillId="0" borderId="37" xfId="301" applyNumberFormat="1" applyFont="1" applyBorder="1" applyAlignment="1">
      <alignment horizontal="center" vertical="center" wrapText="1"/>
    </xf>
    <xf numFmtId="168" fontId="5" fillId="0" borderId="38" xfId="301" applyNumberFormat="1" applyFont="1" applyBorder="1" applyAlignment="1">
      <alignment horizontal="right" vertical="center" wrapText="1"/>
    </xf>
    <xf numFmtId="168" fontId="5" fillId="0" borderId="39" xfId="301" applyNumberFormat="1" applyFont="1" applyBorder="1" applyAlignment="1">
      <alignment horizontal="right" vertical="center" wrapText="1"/>
    </xf>
    <xf numFmtId="164" fontId="5" fillId="0" borderId="42" xfId="301" applyNumberFormat="1" applyFont="1" applyBorder="1" applyAlignment="1">
      <alignment horizontal="center" vertical="center" wrapText="1"/>
    </xf>
    <xf numFmtId="167" fontId="56" fillId="0" borderId="0" xfId="302" applyNumberFormat="1" applyFont="1" applyAlignment="1">
      <alignment vertical="center" wrapText="1"/>
    </xf>
    <xf numFmtId="167" fontId="56" fillId="0" borderId="0" xfId="302" applyNumberFormat="1" applyFont="1" applyAlignment="1">
      <alignment horizontal="right" vertical="center" wrapText="1"/>
    </xf>
    <xf numFmtId="49" fontId="56" fillId="0" borderId="0" xfId="302" applyNumberFormat="1" applyFont="1" applyAlignment="1">
      <alignment vertical="center" wrapText="1"/>
    </xf>
    <xf numFmtId="0" fontId="60" fillId="0" borderId="0" xfId="0" applyFont="1"/>
    <xf numFmtId="0" fontId="61" fillId="0" borderId="0" xfId="0" applyFont="1"/>
    <xf numFmtId="0" fontId="62" fillId="0" borderId="0" xfId="0" applyFont="1"/>
    <xf numFmtId="167" fontId="57" fillId="0" borderId="0" xfId="302" applyNumberFormat="1" applyFont="1" applyAlignment="1">
      <alignment horizontal="center" vertical="center" wrapText="1"/>
    </xf>
    <xf numFmtId="167" fontId="5" fillId="0" borderId="0" xfId="302" applyNumberFormat="1" applyFont="1" applyAlignment="1">
      <alignment horizontal="center" vertical="center" wrapText="1"/>
    </xf>
    <xf numFmtId="49" fontId="57" fillId="0" borderId="0" xfId="302" applyNumberFormat="1" applyFont="1" applyAlignment="1">
      <alignment horizontal="center" vertical="center" wrapText="1"/>
    </xf>
    <xf numFmtId="0" fontId="5" fillId="0" borderId="15" xfId="30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60" fillId="0" borderId="0" xfId="0" applyFont="1" applyAlignment="1">
      <alignment vertical="top"/>
    </xf>
    <xf numFmtId="0" fontId="5" fillId="0" borderId="16" xfId="301" applyFont="1" applyBorder="1" applyAlignment="1" applyProtection="1">
      <alignment horizontal="center" vertical="center" wrapText="1"/>
      <protection hidden="1"/>
    </xf>
    <xf numFmtId="0" fontId="56" fillId="0" borderId="0" xfId="0" applyFont="1"/>
    <xf numFmtId="49" fontId="67" fillId="0" borderId="0" xfId="0" applyNumberFormat="1" applyFont="1"/>
    <xf numFmtId="49" fontId="67" fillId="0" borderId="43" xfId="0" applyNumberFormat="1" applyFont="1" applyBorder="1"/>
    <xf numFmtId="49" fontId="68" fillId="0" borderId="0" xfId="0" applyNumberFormat="1" applyFont="1"/>
    <xf numFmtId="0" fontId="56" fillId="0" borderId="0" xfId="0" applyFont="1" applyAlignment="1">
      <alignment vertical="center"/>
    </xf>
    <xf numFmtId="0" fontId="70" fillId="0" borderId="0" xfId="0" applyFont="1"/>
    <xf numFmtId="0" fontId="71" fillId="0" borderId="0" xfId="0" applyFont="1"/>
    <xf numFmtId="0" fontId="8" fillId="0" borderId="0" xfId="0" applyFont="1"/>
    <xf numFmtId="49" fontId="72" fillId="40" borderId="43" xfId="0" applyNumberFormat="1" applyFont="1" applyFill="1" applyBorder="1"/>
    <xf numFmtId="0" fontId="56" fillId="40" borderId="43" xfId="0" applyFont="1" applyFill="1" applyBorder="1"/>
    <xf numFmtId="14" fontId="67" fillId="0" borderId="43" xfId="0" applyNumberFormat="1" applyFont="1" applyBorder="1" applyAlignment="1" applyProtection="1">
      <alignment horizontal="left" vertical="center"/>
      <protection locked="0"/>
    </xf>
    <xf numFmtId="49" fontId="72" fillId="0" borderId="43" xfId="0" applyNumberFormat="1" applyFont="1" applyBorder="1"/>
    <xf numFmtId="0" fontId="62" fillId="0" borderId="0" xfId="0" applyFont="1" applyAlignment="1">
      <alignment vertical="top"/>
    </xf>
    <xf numFmtId="0" fontId="59" fillId="0" borderId="0" xfId="0" applyFont="1" applyAlignment="1">
      <alignment vertical="center"/>
    </xf>
    <xf numFmtId="0" fontId="73" fillId="0" borderId="0" xfId="0" applyFont="1"/>
    <xf numFmtId="0" fontId="70" fillId="0" borderId="0" xfId="0" applyFont="1" applyAlignment="1">
      <alignment vertical="center"/>
    </xf>
    <xf numFmtId="0" fontId="75" fillId="0" borderId="0" xfId="0" applyFont="1" applyAlignment="1">
      <alignment horizontal="right" vertical="center"/>
    </xf>
    <xf numFmtId="49" fontId="76" fillId="0" borderId="0" xfId="0" applyNumberFormat="1" applyFont="1" applyAlignment="1">
      <alignment vertical="center"/>
    </xf>
    <xf numFmtId="49" fontId="72" fillId="41" borderId="43" xfId="0" applyNumberFormat="1" applyFont="1" applyFill="1" applyBorder="1"/>
    <xf numFmtId="0" fontId="67" fillId="0" borderId="43" xfId="0" applyFont="1" applyBorder="1"/>
    <xf numFmtId="0" fontId="77" fillId="0" borderId="0" xfId="327" applyFont="1" applyBorder="1" applyAlignment="1">
      <alignment vertical="top"/>
    </xf>
    <xf numFmtId="0" fontId="78" fillId="0" borderId="0" xfId="327" applyFont="1" applyBorder="1" applyAlignment="1">
      <alignment vertical="top"/>
    </xf>
    <xf numFmtId="167" fontId="69" fillId="0" borderId="0" xfId="301" applyNumberFormat="1" applyFont="1" applyAlignment="1">
      <alignment vertical="center" wrapText="1"/>
    </xf>
    <xf numFmtId="14" fontId="72" fillId="0" borderId="43" xfId="0" applyNumberFormat="1" applyFont="1" applyBorder="1" applyAlignment="1">
      <alignment horizontal="left"/>
    </xf>
    <xf numFmtId="0" fontId="59" fillId="0" borderId="0" xfId="0" applyFont="1"/>
    <xf numFmtId="0" fontId="80" fillId="0" borderId="0" xfId="0" applyFont="1" applyAlignment="1">
      <alignment vertical="center"/>
    </xf>
    <xf numFmtId="167" fontId="56" fillId="0" borderId="0" xfId="302" applyNumberFormat="1" applyFont="1" applyAlignment="1">
      <alignment horizontal="center" vertical="center" wrapText="1"/>
    </xf>
    <xf numFmtId="167" fontId="57" fillId="0" borderId="0" xfId="302" applyNumberFormat="1" applyFont="1" applyAlignment="1">
      <alignment vertical="center" wrapText="1"/>
    </xf>
    <xf numFmtId="167" fontId="9" fillId="0" borderId="0" xfId="302" applyNumberFormat="1" applyFont="1" applyAlignment="1">
      <alignment horizontal="center" vertical="center" wrapText="1"/>
    </xf>
    <xf numFmtId="167" fontId="5" fillId="0" borderId="0" xfId="302" applyNumberFormat="1" applyFont="1" applyAlignment="1">
      <alignment vertical="center" wrapText="1"/>
    </xf>
    <xf numFmtId="49" fontId="5" fillId="0" borderId="0" xfId="302" applyNumberFormat="1" applyFont="1" applyAlignment="1">
      <alignment horizontal="center" vertical="center" wrapText="1"/>
    </xf>
    <xf numFmtId="167" fontId="5" fillId="0" borderId="14" xfId="302" applyNumberFormat="1" applyFont="1" applyBorder="1" applyAlignment="1">
      <alignment horizontal="center" vertical="center" wrapText="1"/>
    </xf>
    <xf numFmtId="167" fontId="5" fillId="0" borderId="0" xfId="302" applyNumberFormat="1" applyFont="1" applyAlignment="1">
      <alignment horizontal="left" vertical="center" wrapText="1"/>
    </xf>
    <xf numFmtId="167" fontId="5" fillId="0" borderId="0" xfId="302" applyNumberFormat="1" applyFont="1" applyAlignment="1">
      <alignment horizontal="right" vertical="center" wrapText="1"/>
    </xf>
    <xf numFmtId="49" fontId="5" fillId="0" borderId="41" xfId="302" applyNumberFormat="1" applyFont="1" applyBorder="1" applyAlignment="1" applyProtection="1">
      <alignment horizontal="center" vertical="center" wrapText="1"/>
      <protection locked="0"/>
    </xf>
    <xf numFmtId="167" fontId="69" fillId="0" borderId="0" xfId="302" applyNumberFormat="1" applyFont="1" applyAlignment="1">
      <alignment vertical="center" wrapText="1"/>
    </xf>
    <xf numFmtId="0" fontId="5" fillId="0" borderId="15" xfId="302" applyFont="1" applyBorder="1" applyAlignment="1" applyProtection="1">
      <alignment horizontal="center" vertical="center" wrapText="1"/>
      <protection hidden="1"/>
    </xf>
    <xf numFmtId="164" fontId="8" fillId="0" borderId="0" xfId="302" applyNumberFormat="1" applyFont="1" applyAlignment="1">
      <alignment horizontal="right" vertical="center" wrapText="1"/>
    </xf>
    <xf numFmtId="49" fontId="5" fillId="0" borderId="15" xfId="302" applyNumberFormat="1" applyFont="1" applyBorder="1" applyAlignment="1">
      <alignment horizontal="center" vertical="center" wrapText="1"/>
    </xf>
    <xf numFmtId="0" fontId="5" fillId="0" borderId="16" xfId="302" applyFont="1" applyBorder="1" applyAlignment="1" applyProtection="1">
      <alignment horizontal="center" vertical="center" wrapText="1"/>
      <protection hidden="1"/>
    </xf>
    <xf numFmtId="49" fontId="8" fillId="0" borderId="18" xfId="302" applyNumberFormat="1" applyFont="1" applyBorder="1" applyAlignment="1">
      <alignment horizontal="center" vertical="center" wrapText="1"/>
    </xf>
    <xf numFmtId="167" fontId="5" fillId="0" borderId="48" xfId="302" applyNumberFormat="1" applyFont="1" applyBorder="1" applyAlignment="1">
      <alignment horizontal="center" vertical="center" wrapText="1"/>
    </xf>
    <xf numFmtId="167" fontId="8" fillId="0" borderId="48" xfId="302" applyNumberFormat="1" applyFont="1" applyBorder="1" applyAlignment="1">
      <alignment horizontal="center" vertical="center" wrapText="1"/>
    </xf>
    <xf numFmtId="167" fontId="5" fillId="0" borderId="49" xfId="302" applyNumberFormat="1" applyFont="1" applyBorder="1" applyAlignment="1">
      <alignment horizontal="center" vertical="center" wrapText="1"/>
    </xf>
    <xf numFmtId="167" fontId="5" fillId="0" borderId="42" xfId="302" applyNumberFormat="1" applyFont="1" applyBorder="1" applyAlignment="1">
      <alignment horizontal="center" vertical="center" wrapText="1"/>
    </xf>
    <xf numFmtId="168" fontId="5" fillId="0" borderId="50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37" xfId="326" applyNumberFormat="1" applyFont="1" applyFill="1" applyBorder="1" applyAlignment="1" applyProtection="1">
      <alignment horizontal="right" vertical="center" wrapText="1"/>
      <protection locked="0"/>
    </xf>
    <xf numFmtId="167" fontId="82" fillId="0" borderId="0" xfId="302" applyNumberFormat="1" applyFont="1" applyAlignment="1">
      <alignment vertical="center" wrapText="1"/>
    </xf>
    <xf numFmtId="167" fontId="83" fillId="0" borderId="0" xfId="302" applyNumberFormat="1" applyFont="1" applyAlignment="1">
      <alignment vertical="center"/>
    </xf>
    <xf numFmtId="167" fontId="82" fillId="0" borderId="0" xfId="302" applyNumberFormat="1" applyFont="1" applyAlignment="1">
      <alignment horizontal="left" vertical="center" wrapText="1" indent="1"/>
    </xf>
    <xf numFmtId="168" fontId="5" fillId="0" borderId="52" xfId="326" applyNumberFormat="1" applyFont="1" applyFill="1" applyBorder="1" applyAlignment="1" applyProtection="1">
      <alignment horizontal="right" vertical="center" wrapText="1"/>
      <protection locked="0"/>
    </xf>
    <xf numFmtId="172" fontId="5" fillId="0" borderId="0" xfId="302" applyNumberFormat="1" applyFont="1" applyAlignment="1">
      <alignment horizontal="center" vertical="center" wrapText="1"/>
    </xf>
    <xf numFmtId="172" fontId="5" fillId="0" borderId="0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25" xfId="326" applyNumberFormat="1" applyFont="1" applyFill="1" applyBorder="1" applyAlignment="1" applyProtection="1">
      <alignment horizontal="left" vertical="center" wrapText="1"/>
      <protection locked="0"/>
    </xf>
    <xf numFmtId="168" fontId="5" fillId="0" borderId="47" xfId="326" applyNumberFormat="1" applyFont="1" applyFill="1" applyBorder="1" applyAlignment="1" applyProtection="1">
      <alignment horizontal="right" vertical="center" wrapText="1"/>
      <protection locked="0"/>
    </xf>
    <xf numFmtId="49" fontId="5" fillId="0" borderId="37" xfId="326" applyNumberFormat="1" applyFont="1" applyFill="1" applyBorder="1" applyAlignment="1" applyProtection="1">
      <alignment horizontal="center" vertical="center" wrapText="1"/>
      <protection locked="0"/>
    </xf>
    <xf numFmtId="172" fontId="55" fillId="0" borderId="25" xfId="326" applyNumberFormat="1" applyFont="1" applyFill="1" applyBorder="1" applyAlignment="1" applyProtection="1">
      <alignment horizontal="left" vertical="center" wrapText="1"/>
      <protection locked="0"/>
    </xf>
    <xf numFmtId="167" fontId="56" fillId="0" borderId="0" xfId="329" applyNumberFormat="1" applyFont="1" applyAlignment="1">
      <alignment vertical="center" wrapText="1"/>
    </xf>
    <xf numFmtId="167" fontId="56" fillId="0" borderId="0" xfId="329" applyNumberFormat="1" applyFont="1" applyAlignment="1">
      <alignment horizontal="left" vertical="center" wrapText="1"/>
    </xf>
    <xf numFmtId="49" fontId="56" fillId="0" borderId="0" xfId="329" applyNumberFormat="1" applyFont="1" applyAlignment="1">
      <alignment vertical="center" wrapText="1"/>
    </xf>
    <xf numFmtId="49" fontId="5" fillId="0" borderId="14" xfId="329" applyNumberFormat="1" applyFont="1" applyBorder="1" applyAlignment="1">
      <alignment horizontal="center" vertical="center" wrapText="1"/>
    </xf>
    <xf numFmtId="167" fontId="5" fillId="0" borderId="0" xfId="329" applyNumberFormat="1" applyFont="1" applyAlignment="1">
      <alignment horizontal="center" vertical="center" wrapText="1"/>
    </xf>
    <xf numFmtId="49" fontId="5" fillId="0" borderId="15" xfId="329" applyNumberFormat="1" applyFont="1" applyBorder="1" applyAlignment="1">
      <alignment horizontal="center" vertical="center" wrapText="1"/>
    </xf>
    <xf numFmtId="167" fontId="8" fillId="0" borderId="0" xfId="329" applyNumberFormat="1" applyFont="1" applyAlignment="1">
      <alignment vertical="center" wrapText="1"/>
    </xf>
    <xf numFmtId="164" fontId="8" fillId="0" borderId="0" xfId="329" applyNumberFormat="1" applyFont="1" applyAlignment="1">
      <alignment horizontal="right" vertical="center" wrapText="1"/>
    </xf>
    <xf numFmtId="167" fontId="56" fillId="0" borderId="0" xfId="329" applyNumberFormat="1" applyFont="1" applyAlignment="1">
      <alignment horizontal="right" vertical="center" wrapText="1"/>
    </xf>
    <xf numFmtId="49" fontId="5" fillId="0" borderId="18" xfId="329" applyNumberFormat="1" applyFont="1" applyBorder="1" applyAlignment="1">
      <alignment horizontal="center" vertical="center" wrapText="1"/>
    </xf>
    <xf numFmtId="164" fontId="5" fillId="0" borderId="18" xfId="302" applyNumberFormat="1" applyFont="1" applyBorder="1" applyAlignment="1">
      <alignment horizontal="center" vertical="center" wrapText="1"/>
    </xf>
    <xf numFmtId="164" fontId="5" fillId="0" borderId="42" xfId="302" applyNumberFormat="1" applyFont="1" applyBorder="1" applyAlignment="1">
      <alignment horizontal="center" vertical="center" wrapText="1"/>
    </xf>
    <xf numFmtId="167" fontId="56" fillId="0" borderId="0" xfId="329" applyNumberFormat="1" applyFont="1" applyAlignment="1">
      <alignment horizontal="center" vertical="center" wrapText="1"/>
    </xf>
    <xf numFmtId="49" fontId="5" fillId="0" borderId="21" xfId="329" applyNumberFormat="1" applyFont="1" applyBorder="1" applyAlignment="1">
      <alignment horizontal="center" vertical="center" wrapText="1"/>
    </xf>
    <xf numFmtId="168" fontId="5" fillId="0" borderId="21" xfId="329" applyNumberFormat="1" applyFont="1" applyBorder="1" applyAlignment="1">
      <alignment horizontal="right" vertical="center" wrapText="1"/>
    </xf>
    <xf numFmtId="168" fontId="5" fillId="0" borderId="22" xfId="329" applyNumberFormat="1" applyFont="1" applyBorder="1" applyAlignment="1">
      <alignment horizontal="right" vertical="center" wrapText="1"/>
    </xf>
    <xf numFmtId="164" fontId="5" fillId="0" borderId="20" xfId="329" applyNumberFormat="1" applyFont="1" applyBorder="1" applyAlignment="1">
      <alignment horizontal="left" vertical="center" wrapText="1" indent="4"/>
    </xf>
    <xf numFmtId="168" fontId="5" fillId="0" borderId="51" xfId="329" applyNumberFormat="1" applyFont="1" applyBorder="1" applyAlignment="1">
      <alignment horizontal="right" vertical="center" wrapText="1"/>
    </xf>
    <xf numFmtId="168" fontId="5" fillId="0" borderId="60" xfId="329" applyNumberFormat="1" applyFont="1" applyBorder="1" applyAlignment="1">
      <alignment horizontal="right" vertical="center" wrapText="1"/>
    </xf>
    <xf numFmtId="49" fontId="5" fillId="0" borderId="31" xfId="329" applyNumberFormat="1" applyFont="1" applyBorder="1" applyAlignment="1">
      <alignment horizontal="center" vertical="center" wrapText="1"/>
    </xf>
    <xf numFmtId="168" fontId="5" fillId="0" borderId="31" xfId="329" applyNumberFormat="1" applyFont="1" applyBorder="1" applyAlignment="1">
      <alignment horizontal="right" vertical="center" wrapText="1"/>
    </xf>
    <xf numFmtId="168" fontId="5" fillId="0" borderId="32" xfId="329" applyNumberFormat="1" applyFont="1" applyBorder="1" applyAlignment="1">
      <alignment horizontal="right" vertical="center" wrapText="1"/>
    </xf>
    <xf numFmtId="168" fontId="5" fillId="0" borderId="21" xfId="329" applyNumberFormat="1" applyFont="1" applyBorder="1" applyAlignment="1">
      <alignment horizontal="center" vertical="center" wrapText="1"/>
    </xf>
    <xf numFmtId="168" fontId="5" fillId="0" borderId="22" xfId="329" applyNumberFormat="1" applyFont="1" applyBorder="1" applyAlignment="1">
      <alignment horizontal="center" vertical="center" wrapText="1"/>
    </xf>
    <xf numFmtId="49" fontId="5" fillId="0" borderId="24" xfId="329" applyNumberFormat="1" applyFont="1" applyBorder="1" applyAlignment="1">
      <alignment horizontal="center" vertical="center" wrapText="1"/>
    </xf>
    <xf numFmtId="168" fontId="5" fillId="0" borderId="24" xfId="329" applyNumberFormat="1" applyFont="1" applyBorder="1" applyAlignment="1">
      <alignment horizontal="right" vertical="center" wrapText="1"/>
    </xf>
    <xf numFmtId="168" fontId="5" fillId="0" borderId="29" xfId="329" applyNumberFormat="1" applyFont="1" applyBorder="1" applyAlignment="1">
      <alignment horizontal="right" vertical="center" wrapText="1"/>
    </xf>
    <xf numFmtId="167" fontId="8" fillId="0" borderId="0" xfId="302" applyNumberFormat="1" applyFont="1" applyAlignment="1">
      <alignment vertical="center" wrapText="1"/>
    </xf>
    <xf numFmtId="167" fontId="6" fillId="0" borderId="0" xfId="302" applyNumberFormat="1" applyAlignment="1">
      <alignment wrapText="1"/>
    </xf>
    <xf numFmtId="167" fontId="85" fillId="0" borderId="0" xfId="302" applyNumberFormat="1" applyFont="1" applyAlignment="1">
      <alignment horizontal="left" vertical="center" wrapText="1"/>
    </xf>
    <xf numFmtId="0" fontId="86" fillId="0" borderId="0" xfId="0" applyFont="1" applyAlignment="1">
      <alignment vertical="center"/>
    </xf>
    <xf numFmtId="167" fontId="8" fillId="0" borderId="0" xfId="0" applyNumberFormat="1" applyFont="1" applyAlignment="1">
      <alignment vertical="center" wrapText="1"/>
    </xf>
    <xf numFmtId="167" fontId="5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Continuous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167" fontId="5" fillId="0" borderId="0" xfId="0" applyNumberFormat="1" applyFont="1" applyAlignment="1" applyProtection="1">
      <alignment horizontal="center" vertical="center" wrapText="1"/>
      <protection locked="0"/>
    </xf>
    <xf numFmtId="167" fontId="5" fillId="0" borderId="0" xfId="0" applyNumberFormat="1" applyFont="1" applyAlignment="1" applyProtection="1">
      <alignment horizontal="left" vertical="center" wrapText="1"/>
      <protection locked="0"/>
    </xf>
    <xf numFmtId="167" fontId="5" fillId="0" borderId="0" xfId="0" applyNumberFormat="1" applyFont="1" applyAlignment="1" applyProtection="1">
      <alignment vertical="center" wrapText="1"/>
      <protection locked="0"/>
    </xf>
    <xf numFmtId="164" fontId="8" fillId="0" borderId="0" xfId="0" applyNumberFormat="1" applyFont="1" applyAlignment="1">
      <alignment horizontal="right" vertical="center" wrapText="1"/>
    </xf>
    <xf numFmtId="164" fontId="5" fillId="0" borderId="46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Continuous" vertical="center" wrapText="1"/>
      <protection locked="0"/>
    </xf>
    <xf numFmtId="164" fontId="8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86" fillId="0" borderId="0" xfId="0" applyFont="1" applyAlignment="1">
      <alignment horizontal="right" vertical="center"/>
    </xf>
    <xf numFmtId="0" fontId="88" fillId="0" borderId="0" xfId="0" applyFont="1" applyAlignment="1">
      <alignment horizontal="center"/>
    </xf>
    <xf numFmtId="0" fontId="86" fillId="0" borderId="0" xfId="0" applyFont="1"/>
    <xf numFmtId="0" fontId="88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 wrapText="1"/>
    </xf>
    <xf numFmtId="0" fontId="86" fillId="0" borderId="0" xfId="0" applyFont="1" applyAlignment="1">
      <alignment vertical="center" wrapText="1"/>
    </xf>
    <xf numFmtId="168" fontId="57" fillId="0" borderId="51" xfId="0" applyNumberFormat="1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left" vertical="center" wrapText="1"/>
    </xf>
    <xf numFmtId="164" fontId="89" fillId="0" borderId="0" xfId="0" applyNumberFormat="1" applyFont="1" applyAlignment="1">
      <alignment horizontal="left" vertical="center" wrapText="1"/>
    </xf>
    <xf numFmtId="167" fontId="8" fillId="0" borderId="0" xfId="302" applyNumberFormat="1" applyFont="1" applyAlignment="1">
      <alignment horizontal="center" wrapText="1"/>
    </xf>
    <xf numFmtId="167" fontId="8" fillId="0" borderId="0" xfId="302" applyNumberFormat="1" applyFont="1" applyAlignment="1">
      <alignment wrapText="1"/>
    </xf>
    <xf numFmtId="167" fontId="8" fillId="0" borderId="0" xfId="302" applyNumberFormat="1" applyFont="1" applyAlignment="1">
      <alignment horizontal="center" vertical="center" wrapText="1"/>
    </xf>
    <xf numFmtId="167" fontId="56" fillId="0" borderId="0" xfId="302" applyNumberFormat="1" applyFont="1" applyAlignment="1">
      <alignment horizontal="left" wrapText="1"/>
    </xf>
    <xf numFmtId="0" fontId="57" fillId="0" borderId="30" xfId="0" applyFont="1" applyBorder="1" applyAlignment="1">
      <alignment horizontal="center" vertical="center" wrapText="1"/>
    </xf>
    <xf numFmtId="0" fontId="57" fillId="0" borderId="50" xfId="0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Continuous" vertical="center" wrapText="1"/>
    </xf>
    <xf numFmtId="164" fontId="6" fillId="0" borderId="0" xfId="0" applyNumberFormat="1" applyFont="1" applyAlignment="1">
      <alignment horizontal="centerContinuous" vertical="center" wrapText="1"/>
    </xf>
    <xf numFmtId="164" fontId="92" fillId="0" borderId="0" xfId="0" applyNumberFormat="1" applyFont="1" applyAlignment="1">
      <alignment horizontal="left" vertical="center" wrapText="1" indent="2"/>
    </xf>
    <xf numFmtId="0" fontId="0" fillId="0" borderId="0" xfId="0" applyAlignment="1">
      <alignment wrapText="1"/>
    </xf>
    <xf numFmtId="0" fontId="57" fillId="0" borderId="48" xfId="0" applyFont="1" applyBorder="1" applyAlignment="1">
      <alignment horizontal="center" vertical="center" wrapText="1"/>
    </xf>
    <xf numFmtId="0" fontId="86" fillId="0" borderId="70" xfId="0" applyFont="1" applyBorder="1" applyAlignment="1">
      <alignment vertical="center"/>
    </xf>
    <xf numFmtId="168" fontId="57" fillId="0" borderId="64" xfId="0" applyNumberFormat="1" applyFont="1" applyBorder="1" applyAlignment="1">
      <alignment horizontal="right" vertical="center" wrapText="1"/>
    </xf>
    <xf numFmtId="0" fontId="94" fillId="0" borderId="0" xfId="0" applyFont="1" applyAlignment="1">
      <alignment horizontal="center" vertical="center" wrapText="1"/>
    </xf>
    <xf numFmtId="0" fontId="57" fillId="0" borderId="42" xfId="0" applyFont="1" applyBorder="1" applyAlignment="1">
      <alignment horizontal="center" vertical="center" wrapText="1"/>
    </xf>
    <xf numFmtId="0" fontId="88" fillId="0" borderId="0" xfId="0" applyFont="1" applyAlignment="1">
      <alignment horizontal="center" vertical="top"/>
    </xf>
    <xf numFmtId="0" fontId="86" fillId="0" borderId="0" xfId="0" applyFont="1" applyAlignment="1">
      <alignment vertical="top"/>
    </xf>
    <xf numFmtId="0" fontId="86" fillId="0" borderId="0" xfId="0" applyFont="1" applyAlignment="1">
      <alignment horizontal="right" vertical="top"/>
    </xf>
    <xf numFmtId="0" fontId="95" fillId="42" borderId="0" xfId="0" applyFont="1" applyFill="1" applyAlignment="1">
      <alignment horizontal="center"/>
    </xf>
    <xf numFmtId="0" fontId="95" fillId="0" borderId="0" xfId="0" applyFont="1"/>
    <xf numFmtId="0" fontId="96" fillId="0" borderId="0" xfId="0" applyFont="1"/>
    <xf numFmtId="0" fontId="95" fillId="0" borderId="72" xfId="0" applyFont="1" applyBorder="1"/>
    <xf numFmtId="0" fontId="0" fillId="0" borderId="71" xfId="0" applyBorder="1"/>
    <xf numFmtId="0" fontId="0" fillId="0" borderId="70" xfId="0" applyBorder="1"/>
    <xf numFmtId="0" fontId="0" fillId="0" borderId="36" xfId="0" applyBorder="1" applyAlignment="1">
      <alignment wrapText="1"/>
    </xf>
    <xf numFmtId="0" fontId="0" fillId="0" borderId="73" xfId="0" applyBorder="1"/>
    <xf numFmtId="0" fontId="0" fillId="0" borderId="29" xfId="0" applyBorder="1" applyAlignment="1">
      <alignment wrapText="1"/>
    </xf>
    <xf numFmtId="49" fontId="97" fillId="43" borderId="74" xfId="0" applyNumberFormat="1" applyFont="1" applyFill="1" applyBorder="1" applyAlignment="1">
      <alignment horizontal="center" vertical="top" wrapText="1"/>
    </xf>
    <xf numFmtId="49" fontId="97" fillId="43" borderId="74" xfId="0" applyNumberFormat="1" applyFont="1" applyFill="1" applyBorder="1" applyAlignment="1">
      <alignment horizontal="center" vertical="center" wrapText="1"/>
    </xf>
    <xf numFmtId="49" fontId="0" fillId="0" borderId="74" xfId="0" applyNumberFormat="1" applyBorder="1" applyAlignment="1">
      <alignment vertical="center" wrapText="1"/>
    </xf>
    <xf numFmtId="49" fontId="95" fillId="0" borderId="74" xfId="0" applyNumberFormat="1" applyFont="1" applyBorder="1" applyAlignment="1">
      <alignment vertical="center" wrapText="1"/>
    </xf>
    <xf numFmtId="49" fontId="98" fillId="0" borderId="0" xfId="0" applyNumberFormat="1" applyFont="1" applyAlignment="1">
      <alignment vertical="center" wrapText="1"/>
    </xf>
    <xf numFmtId="49" fontId="99" fillId="44" borderId="75" xfId="332" applyNumberFormat="1" applyFont="1" applyFill="1" applyBorder="1" applyAlignment="1">
      <alignment horizontal="center"/>
    </xf>
    <xf numFmtId="0" fontId="99" fillId="44" borderId="75" xfId="332" applyFont="1" applyFill="1" applyBorder="1" applyAlignment="1">
      <alignment horizontal="center"/>
    </xf>
    <xf numFmtId="49" fontId="99" fillId="0" borderId="43" xfId="332" applyNumberFormat="1" applyFont="1" applyBorder="1" applyAlignment="1">
      <alignment horizontal="left" wrapText="1"/>
    </xf>
    <xf numFmtId="0" fontId="99" fillId="0" borderId="43" xfId="332" applyFont="1" applyBorder="1" applyAlignment="1">
      <alignment horizontal="left" wrapText="1"/>
    </xf>
    <xf numFmtId="0" fontId="99" fillId="45" borderId="43" xfId="332" applyFont="1" applyFill="1" applyBorder="1" applyAlignment="1">
      <alignment horizontal="left" wrapText="1"/>
    </xf>
    <xf numFmtId="0" fontId="0" fillId="0" borderId="0" xfId="0" applyProtection="1">
      <protection locked="0"/>
    </xf>
    <xf numFmtId="0" fontId="100" fillId="0" borderId="0" xfId="333" applyFont="1" applyAlignment="1">
      <alignment vertical="center"/>
    </xf>
    <xf numFmtId="0" fontId="100" fillId="0" borderId="0" xfId="333" applyFont="1"/>
    <xf numFmtId="0" fontId="101" fillId="0" borderId="0" xfId="0" applyFont="1"/>
    <xf numFmtId="0" fontId="102" fillId="0" borderId="0" xfId="0" applyFont="1" applyProtection="1">
      <protection locked="0"/>
    </xf>
    <xf numFmtId="0" fontId="0" fillId="0" borderId="0" xfId="0" applyAlignment="1">
      <alignment horizontal="left"/>
    </xf>
    <xf numFmtId="0" fontId="103" fillId="0" borderId="0" xfId="333" applyFont="1" applyAlignment="1">
      <alignment horizontal="left"/>
    </xf>
    <xf numFmtId="0" fontId="103" fillId="0" borderId="0" xfId="333" applyFont="1"/>
    <xf numFmtId="0" fontId="104" fillId="0" borderId="0" xfId="333" applyFont="1" applyAlignment="1">
      <alignment horizontal="left"/>
    </xf>
    <xf numFmtId="0" fontId="104" fillId="0" borderId="0" xfId="333" applyFont="1"/>
    <xf numFmtId="49" fontId="105" fillId="0" borderId="0" xfId="0" applyNumberFormat="1" applyFont="1"/>
    <xf numFmtId="0" fontId="106" fillId="0" borderId="0" xfId="0" applyFont="1"/>
    <xf numFmtId="49" fontId="107" fillId="0" borderId="0" xfId="0" applyNumberFormat="1" applyFont="1"/>
    <xf numFmtId="0" fontId="108" fillId="0" borderId="0" xfId="0" applyFont="1"/>
    <xf numFmtId="49" fontId="109" fillId="0" borderId="0" xfId="0" applyNumberFormat="1" applyFont="1"/>
    <xf numFmtId="0" fontId="110" fillId="0" borderId="0" xfId="0" applyFont="1"/>
    <xf numFmtId="0" fontId="69" fillId="0" borderId="0" xfId="0" applyFont="1"/>
    <xf numFmtId="49" fontId="5" fillId="0" borderId="52" xfId="326" applyNumberFormat="1" applyFont="1" applyFill="1" applyBorder="1" applyAlignment="1" applyProtection="1">
      <alignment horizontal="center" vertical="center" wrapText="1"/>
      <protection locked="0"/>
    </xf>
    <xf numFmtId="0" fontId="57" fillId="0" borderId="52" xfId="0" applyFont="1" applyBorder="1" applyAlignment="1">
      <alignment horizontal="center" vertical="center" wrapText="1"/>
    </xf>
    <xf numFmtId="168" fontId="57" fillId="0" borderId="52" xfId="0" applyNumberFormat="1" applyFont="1" applyBorder="1" applyAlignment="1">
      <alignment horizontal="right" vertical="center"/>
    </xf>
    <xf numFmtId="168" fontId="57" fillId="0" borderId="39" xfId="0" applyNumberFormat="1" applyFont="1" applyBorder="1" applyAlignment="1">
      <alignment horizontal="right" vertical="center"/>
    </xf>
    <xf numFmtId="168" fontId="57" fillId="0" borderId="37" xfId="0" applyNumberFormat="1" applyFont="1" applyBorder="1" applyAlignment="1">
      <alignment horizontal="right" vertical="center" wrapText="1"/>
    </xf>
    <xf numFmtId="49" fontId="5" fillId="0" borderId="18" xfId="301" applyNumberFormat="1" applyFont="1" applyBorder="1" applyAlignment="1" applyProtection="1">
      <alignment horizontal="center" vertical="center" wrapText="1"/>
      <protection locked="0"/>
    </xf>
    <xf numFmtId="0" fontId="5" fillId="0" borderId="18" xfId="301" applyFont="1" applyBorder="1" applyAlignment="1" applyProtection="1">
      <alignment horizontal="center" vertical="center" wrapText="1"/>
      <protection locked="0"/>
    </xf>
    <xf numFmtId="49" fontId="5" fillId="0" borderId="20" xfId="302" applyNumberFormat="1" applyFont="1" applyBorder="1" applyAlignment="1" applyProtection="1">
      <alignment horizontal="center" vertical="center" wrapText="1"/>
      <protection locked="0"/>
    </xf>
    <xf numFmtId="49" fontId="5" fillId="0" borderId="21" xfId="302" applyNumberFormat="1" applyFont="1" applyBorder="1" applyAlignment="1" applyProtection="1">
      <alignment horizontal="left" vertical="center" wrapText="1" indent="2"/>
      <protection locked="0"/>
    </xf>
    <xf numFmtId="49" fontId="5" fillId="0" borderId="21" xfId="302" applyNumberFormat="1" applyFont="1" applyBorder="1" applyAlignment="1" applyProtection="1">
      <alignment horizontal="center" vertical="center" wrapText="1"/>
      <protection locked="0"/>
    </xf>
    <xf numFmtId="168" fontId="5" fillId="0" borderId="21" xfId="302" applyNumberFormat="1" applyFont="1" applyBorder="1" applyAlignment="1" applyProtection="1">
      <alignment horizontal="right" vertical="center" wrapText="1"/>
      <protection locked="0"/>
    </xf>
    <xf numFmtId="168" fontId="5" fillId="0" borderId="22" xfId="302" applyNumberFormat="1" applyFont="1" applyBorder="1" applyAlignment="1" applyProtection="1">
      <alignment horizontal="right" vertical="center" wrapText="1"/>
      <protection locked="0"/>
    </xf>
    <xf numFmtId="0" fontId="86" fillId="0" borderId="0" xfId="0" applyFont="1" applyAlignment="1" applyProtection="1">
      <alignment vertical="center"/>
      <protection locked="0"/>
    </xf>
    <xf numFmtId="167" fontId="8" fillId="0" borderId="0" xfId="0" applyNumberFormat="1" applyFont="1" applyAlignment="1" applyProtection="1">
      <alignment vertical="center" wrapText="1"/>
      <protection locked="0"/>
    </xf>
    <xf numFmtId="164" fontId="8" fillId="0" borderId="0" xfId="0" applyNumberFormat="1" applyFont="1" applyAlignment="1" applyProtection="1">
      <alignment horizontal="center" vertical="center" wrapText="1"/>
      <protection locked="0"/>
    </xf>
    <xf numFmtId="49" fontId="5" fillId="0" borderId="14" xfId="0" applyNumberFormat="1" applyFont="1" applyBorder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right" vertical="center" wrapText="1"/>
      <protection locked="0"/>
    </xf>
    <xf numFmtId="49" fontId="5" fillId="0" borderId="15" xfId="0" applyNumberFormat="1" applyFont="1" applyBorder="1" applyAlignment="1" applyProtection="1">
      <alignment horizontal="center" vertical="center" wrapText="1"/>
      <protection locked="0"/>
    </xf>
    <xf numFmtId="164" fontId="8" fillId="0" borderId="0" xfId="0" applyNumberFormat="1" applyFont="1" applyAlignment="1" applyProtection="1">
      <alignment horizontal="right" vertical="center" wrapText="1"/>
      <protection locked="0"/>
    </xf>
    <xf numFmtId="164" fontId="5" fillId="0" borderId="46" xfId="0" applyNumberFormat="1" applyFont="1" applyBorder="1" applyAlignment="1" applyProtection="1">
      <alignment horizontal="left" vertical="center" wrapText="1"/>
      <protection locked="0"/>
    </xf>
    <xf numFmtId="49" fontId="5" fillId="0" borderId="16" xfId="0" applyNumberFormat="1" applyFont="1" applyBorder="1" applyAlignment="1" applyProtection="1">
      <alignment horizontal="center" vertical="center" wrapText="1"/>
      <protection locked="0"/>
    </xf>
    <xf numFmtId="167" fontId="8" fillId="0" borderId="0" xfId="0" applyNumberFormat="1" applyFont="1" applyAlignment="1" applyProtection="1">
      <alignment horizontal="center" vertical="center" wrapText="1"/>
      <protection locked="0"/>
    </xf>
    <xf numFmtId="164" fontId="8" fillId="0" borderId="0" xfId="0" applyNumberFormat="1" applyFont="1" applyAlignment="1" applyProtection="1">
      <alignment vertical="center" wrapText="1"/>
      <protection locked="0"/>
    </xf>
    <xf numFmtId="0" fontId="86" fillId="0" borderId="0" xfId="0" applyFont="1" applyAlignment="1" applyProtection="1">
      <alignment horizontal="right" vertical="center"/>
      <protection locked="0"/>
    </xf>
    <xf numFmtId="0" fontId="87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vertical="center"/>
      <protection locked="0"/>
    </xf>
    <xf numFmtId="0" fontId="91" fillId="0" borderId="0" xfId="0" applyFont="1" applyAlignment="1" applyProtection="1">
      <alignment horizontal="center" vertical="center"/>
      <protection locked="0"/>
    </xf>
    <xf numFmtId="168" fontId="57" fillId="0" borderId="26" xfId="0" applyNumberFormat="1" applyFont="1" applyBorder="1" applyAlignment="1">
      <alignment horizontal="right" vertical="center" wrapText="1"/>
    </xf>
    <xf numFmtId="168" fontId="57" fillId="0" borderId="33" xfId="0" applyNumberFormat="1" applyFont="1" applyBorder="1" applyAlignment="1">
      <alignment horizontal="right" vertical="center" wrapText="1"/>
    </xf>
    <xf numFmtId="164" fontId="57" fillId="0" borderId="56" xfId="0" applyNumberFormat="1" applyFont="1" applyBorder="1" applyAlignment="1">
      <alignment horizontal="left" vertical="center" wrapText="1" indent="4"/>
    </xf>
    <xf numFmtId="0" fontId="86" fillId="0" borderId="70" xfId="0" applyFont="1" applyBorder="1" applyAlignment="1">
      <alignment horizontal="center" vertical="center" wrapText="1"/>
    </xf>
    <xf numFmtId="0" fontId="86" fillId="0" borderId="70" xfId="0" applyFont="1" applyBorder="1" applyAlignment="1">
      <alignment vertical="center" wrapText="1"/>
    </xf>
    <xf numFmtId="164" fontId="57" fillId="0" borderId="56" xfId="0" applyNumberFormat="1" applyFont="1" applyBorder="1" applyAlignment="1">
      <alignment horizontal="left" vertical="center" wrapText="1"/>
    </xf>
    <xf numFmtId="164" fontId="57" fillId="0" borderId="24" xfId="0" applyNumberFormat="1" applyFont="1" applyBorder="1" applyAlignment="1" applyProtection="1">
      <alignment horizontal="center" vertical="center" wrapText="1"/>
      <protection locked="0"/>
    </xf>
    <xf numFmtId="164" fontId="57" fillId="0" borderId="31" xfId="0" applyNumberFormat="1" applyFont="1" applyBorder="1" applyAlignment="1" applyProtection="1">
      <alignment horizontal="center" vertical="center" wrapText="1"/>
      <protection locked="0"/>
    </xf>
    <xf numFmtId="168" fontId="57" fillId="0" borderId="50" xfId="0" applyNumberFormat="1" applyFont="1" applyBorder="1" applyAlignment="1" applyProtection="1">
      <alignment horizontal="right" vertical="center" wrapText="1"/>
      <protection locked="0"/>
    </xf>
    <xf numFmtId="168" fontId="57" fillId="0" borderId="60" xfId="0" applyNumberFormat="1" applyFont="1" applyBorder="1" applyAlignment="1" applyProtection="1">
      <alignment horizontal="right" vertical="center" wrapText="1"/>
      <protection locked="0"/>
    </xf>
    <xf numFmtId="164" fontId="57" fillId="0" borderId="28" xfId="0" applyNumberFormat="1" applyFont="1" applyBorder="1" applyAlignment="1" applyProtection="1">
      <alignment horizontal="left" vertical="center" wrapText="1"/>
      <protection locked="0"/>
    </xf>
    <xf numFmtId="168" fontId="57" fillId="0" borderId="52" xfId="0" applyNumberFormat="1" applyFont="1" applyBorder="1" applyAlignment="1" applyProtection="1">
      <alignment horizontal="right" vertical="center"/>
      <protection locked="0"/>
    </xf>
    <xf numFmtId="168" fontId="57" fillId="0" borderId="52" xfId="0" applyNumberFormat="1" applyFont="1" applyBorder="1" applyAlignment="1" applyProtection="1">
      <alignment horizontal="right" vertical="center" wrapText="1"/>
      <protection locked="0"/>
    </xf>
    <xf numFmtId="168" fontId="57" fillId="0" borderId="39" xfId="0" applyNumberFormat="1" applyFont="1" applyBorder="1" applyAlignment="1" applyProtection="1">
      <alignment horizontal="right" vertical="center"/>
      <protection locked="0"/>
    </xf>
    <xf numFmtId="164" fontId="57" fillId="0" borderId="56" xfId="0" applyNumberFormat="1" applyFont="1" applyBorder="1" applyAlignment="1" applyProtection="1">
      <alignment horizontal="left" vertical="center" wrapText="1"/>
      <protection locked="0"/>
    </xf>
    <xf numFmtId="168" fontId="57" fillId="0" borderId="37" xfId="0" applyNumberFormat="1" applyFont="1" applyBorder="1" applyAlignment="1" applyProtection="1">
      <alignment horizontal="right" vertical="center"/>
      <protection locked="0"/>
    </xf>
    <xf numFmtId="168" fontId="57" fillId="0" borderId="51" xfId="0" applyNumberFormat="1" applyFont="1" applyBorder="1" applyAlignment="1" applyProtection="1">
      <alignment horizontal="right" vertical="center"/>
      <protection locked="0"/>
    </xf>
    <xf numFmtId="168" fontId="57" fillId="0" borderId="37" xfId="0" applyNumberFormat="1" applyFont="1" applyBorder="1" applyAlignment="1" applyProtection="1">
      <alignment horizontal="right" vertical="center" wrapText="1"/>
      <protection locked="0"/>
    </xf>
    <xf numFmtId="168" fontId="57" fillId="0" borderId="30" xfId="0" applyNumberFormat="1" applyFont="1" applyBorder="1" applyAlignment="1" applyProtection="1">
      <alignment horizontal="right" vertical="center" wrapText="1"/>
      <protection locked="0"/>
    </xf>
    <xf numFmtId="168" fontId="57" fillId="0" borderId="53" xfId="0" applyNumberFormat="1" applyFont="1" applyBorder="1" applyAlignment="1" applyProtection="1">
      <alignment horizontal="right" vertical="center" wrapText="1"/>
      <protection locked="0"/>
    </xf>
    <xf numFmtId="168" fontId="57" fillId="0" borderId="62" xfId="0" applyNumberFormat="1" applyFont="1" applyBorder="1" applyAlignment="1">
      <alignment vertical="center" wrapText="1"/>
    </xf>
    <xf numFmtId="168" fontId="57" fillId="0" borderId="37" xfId="0" applyNumberFormat="1" applyFont="1" applyBorder="1" applyAlignment="1">
      <alignment vertical="center" wrapText="1"/>
    </xf>
    <xf numFmtId="168" fontId="57" fillId="0" borderId="30" xfId="0" applyNumberFormat="1" applyFont="1" applyBorder="1" applyAlignment="1">
      <alignment vertical="center" wrapText="1"/>
    </xf>
    <xf numFmtId="168" fontId="57" fillId="0" borderId="54" xfId="0" applyNumberFormat="1" applyFont="1" applyBorder="1" applyAlignment="1">
      <alignment vertical="center" wrapText="1"/>
    </xf>
    <xf numFmtId="0" fontId="57" fillId="0" borderId="53" xfId="0" applyFont="1" applyBorder="1" applyAlignment="1">
      <alignment horizontal="center" vertical="center" wrapText="1"/>
    </xf>
    <xf numFmtId="164" fontId="57" fillId="0" borderId="28" xfId="0" applyNumberFormat="1" applyFont="1" applyBorder="1" applyAlignment="1">
      <alignment horizontal="left" vertical="center" wrapText="1"/>
    </xf>
    <xf numFmtId="0" fontId="57" fillId="0" borderId="48" xfId="0" applyFont="1" applyBorder="1" applyAlignment="1">
      <alignment horizontal="center" vertical="center"/>
    </xf>
    <xf numFmtId="168" fontId="57" fillId="0" borderId="50" xfId="0" applyNumberFormat="1" applyFont="1" applyBorder="1" applyAlignment="1">
      <alignment horizontal="right" vertical="center" wrapText="1"/>
    </xf>
    <xf numFmtId="168" fontId="57" fillId="0" borderId="60" xfId="0" applyNumberFormat="1" applyFont="1" applyBorder="1" applyAlignment="1">
      <alignment horizontal="right" vertical="center" wrapText="1"/>
    </xf>
    <xf numFmtId="0" fontId="86" fillId="0" borderId="0" xfId="0" applyFont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68" fontId="57" fillId="0" borderId="47" xfId="0" applyNumberFormat="1" applyFont="1" applyBorder="1" applyAlignment="1">
      <alignment horizontal="right" vertical="center" wrapText="1"/>
    </xf>
    <xf numFmtId="168" fontId="57" fillId="0" borderId="55" xfId="0" applyNumberFormat="1" applyFont="1" applyBorder="1" applyAlignment="1">
      <alignment horizontal="right" vertical="center" wrapText="1"/>
    </xf>
    <xf numFmtId="0" fontId="86" fillId="0" borderId="52" xfId="0" applyFont="1" applyBorder="1" applyAlignment="1">
      <alignment horizontal="center" vertical="center"/>
    </xf>
    <xf numFmtId="168" fontId="57" fillId="0" borderId="52" xfId="0" applyNumberFormat="1" applyFont="1" applyBorder="1" applyAlignment="1">
      <alignment horizontal="right" vertical="center" wrapText="1"/>
    </xf>
    <xf numFmtId="168" fontId="57" fillId="0" borderId="37" xfId="0" applyNumberFormat="1" applyFont="1" applyBorder="1" applyAlignment="1">
      <alignment horizontal="right" vertical="center"/>
    </xf>
    <xf numFmtId="168" fontId="57" fillId="0" borderId="5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 wrapText="1"/>
    </xf>
    <xf numFmtId="168" fontId="57" fillId="0" borderId="50" xfId="0" applyNumberFormat="1" applyFont="1" applyBorder="1" applyAlignment="1">
      <alignment horizontal="right" vertical="center"/>
    </xf>
    <xf numFmtId="168" fontId="57" fillId="0" borderId="60" xfId="0" applyNumberFormat="1" applyFont="1" applyBorder="1" applyAlignment="1">
      <alignment horizontal="right" vertical="center"/>
    </xf>
    <xf numFmtId="0" fontId="57" fillId="0" borderId="28" xfId="0" applyFont="1" applyBorder="1" applyAlignment="1">
      <alignment vertical="center" wrapText="1"/>
    </xf>
    <xf numFmtId="168" fontId="57" fillId="0" borderId="77" xfId="0" applyNumberFormat="1" applyFont="1" applyBorder="1" applyAlignment="1">
      <alignment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164" fontId="57" fillId="0" borderId="28" xfId="0" applyNumberFormat="1" applyFont="1" applyBorder="1" applyAlignment="1">
      <alignment horizontal="left"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168" fontId="57" fillId="0" borderId="51" xfId="0" applyNumberFormat="1" applyFont="1" applyBorder="1" applyAlignment="1">
      <alignment horizontal="right" vertical="center" wrapText="1"/>
    </xf>
    <xf numFmtId="168" fontId="57" fillId="0" borderId="39" xfId="0" applyNumberFormat="1" applyFont="1" applyBorder="1" applyAlignment="1">
      <alignment horizontal="right" vertical="center"/>
    </xf>
    <xf numFmtId="0" fontId="87" fillId="0" borderId="0" xfId="0" applyFont="1" applyAlignment="1">
      <alignment vertical="center"/>
    </xf>
    <xf numFmtId="168" fontId="57" fillId="0" borderId="37" xfId="0" applyNumberFormat="1" applyFont="1" applyBorder="1" applyAlignment="1">
      <alignment horizontal="right" vertical="center" wrapText="1"/>
    </xf>
    <xf numFmtId="168" fontId="57" fillId="0" borderId="48" xfId="0" applyNumberFormat="1" applyFont="1" applyBorder="1" applyAlignment="1">
      <alignment vertical="center" wrapText="1"/>
    </xf>
    <xf numFmtId="168" fontId="57" fillId="0" borderId="26" xfId="0" applyNumberFormat="1" applyFont="1" applyBorder="1" applyAlignment="1">
      <alignment horizontal="right"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0" fontId="88" fillId="0" borderId="0" xfId="0" applyFont="1" applyAlignment="1">
      <alignment horizontal="center" vertical="center"/>
    </xf>
    <xf numFmtId="168" fontId="57" fillId="0" borderId="51" xfId="0" applyNumberFormat="1" applyFont="1" applyBorder="1" applyAlignment="1">
      <alignment horizontal="right" vertical="center" wrapText="1"/>
    </xf>
    <xf numFmtId="0" fontId="86" fillId="0" borderId="0" xfId="0" applyFont="1" applyAlignment="1">
      <alignment vertical="center"/>
    </xf>
    <xf numFmtId="0" fontId="0" fillId="0" borderId="0" xfId="0" applyAlignment="1">
      <alignment wrapText="1"/>
    </xf>
    <xf numFmtId="168" fontId="57" fillId="0" borderId="52" xfId="0" applyNumberFormat="1" applyFont="1" applyBorder="1" applyAlignment="1">
      <alignment horizontal="right" vertical="center"/>
    </xf>
    <xf numFmtId="168" fontId="57" fillId="0" borderId="50" xfId="0" applyNumberFormat="1" applyFont="1" applyBorder="1" applyAlignment="1">
      <alignment horizontal="right" vertical="center" wrapText="1"/>
    </xf>
    <xf numFmtId="0" fontId="88" fillId="0" borderId="0" xfId="0" applyFont="1" applyAlignment="1">
      <alignment horizontal="center" vertical="center" wrapText="1"/>
    </xf>
    <xf numFmtId="168" fontId="57" fillId="0" borderId="50" xfId="0" applyNumberFormat="1" applyFont="1" applyBorder="1" applyAlignment="1">
      <alignment horizontal="right" vertical="center"/>
    </xf>
    <xf numFmtId="0" fontId="57" fillId="0" borderId="30" xfId="0" applyFont="1" applyFill="1" applyBorder="1" applyAlignment="1">
      <alignment horizontal="center" vertical="center" wrapText="1"/>
    </xf>
    <xf numFmtId="0" fontId="86" fillId="0" borderId="0" xfId="0" applyFont="1" applyAlignment="1">
      <alignment vertical="center"/>
    </xf>
    <xf numFmtId="167" fontId="8" fillId="0" borderId="0" xfId="0" applyNumberFormat="1" applyFont="1" applyAlignment="1">
      <alignment vertical="center" wrapText="1"/>
    </xf>
    <xf numFmtId="0" fontId="86" fillId="0" borderId="0" xfId="0" applyFont="1" applyAlignment="1">
      <alignment vertical="top"/>
    </xf>
    <xf numFmtId="168" fontId="57" fillId="0" borderId="52" xfId="0" applyNumberFormat="1" applyFont="1" applyBorder="1" applyAlignment="1">
      <alignment horizontal="right" vertical="center"/>
    </xf>
    <xf numFmtId="168" fontId="57" fillId="0" borderId="37" xfId="0" applyNumberFormat="1" applyFont="1" applyBorder="1" applyAlignment="1">
      <alignment horizontal="right" vertical="center" wrapText="1"/>
    </xf>
    <xf numFmtId="164" fontId="57" fillId="0" borderId="24" xfId="0" applyNumberFormat="1" applyFont="1" applyBorder="1" applyAlignment="1" applyProtection="1">
      <alignment horizontal="center" vertical="center" wrapText="1"/>
      <protection locked="0"/>
    </xf>
    <xf numFmtId="168" fontId="57" fillId="0" borderId="50" xfId="0" applyNumberFormat="1" applyFont="1" applyBorder="1" applyAlignment="1">
      <alignment horizontal="right" vertical="center" wrapText="1"/>
    </xf>
    <xf numFmtId="168" fontId="57" fillId="0" borderId="37" xfId="0" applyNumberFormat="1" applyFont="1" applyBorder="1" applyAlignment="1">
      <alignment horizontal="right" vertical="center"/>
    </xf>
    <xf numFmtId="168" fontId="57" fillId="0" borderId="37" xfId="0" applyNumberFormat="1" applyFont="1" applyFill="1" applyBorder="1" applyAlignment="1" applyProtection="1">
      <alignment horizontal="right" vertical="center"/>
      <protection locked="0"/>
    </xf>
    <xf numFmtId="0" fontId="114" fillId="0" borderId="0" xfId="0" applyFont="1" applyAlignment="1" applyProtection="1">
      <alignment vertical="center"/>
      <protection locked="0"/>
    </xf>
    <xf numFmtId="168" fontId="57" fillId="0" borderId="37" xfId="0" applyNumberFormat="1" applyFont="1" applyBorder="1" applyAlignment="1">
      <alignment horizontal="right" vertical="center" wrapText="1"/>
    </xf>
    <xf numFmtId="164" fontId="57" fillId="0" borderId="24" xfId="0" applyNumberFormat="1" applyFont="1" applyBorder="1" applyAlignment="1" applyProtection="1">
      <alignment horizontal="center" vertical="top" wrapText="1"/>
      <protection locked="0"/>
    </xf>
    <xf numFmtId="168" fontId="57" fillId="0" borderId="37" xfId="0" applyNumberFormat="1" applyFont="1" applyBorder="1" applyAlignment="1">
      <alignment horizontal="right" vertical="center" wrapText="1"/>
    </xf>
    <xf numFmtId="164" fontId="57" fillId="0" borderId="64" xfId="0" applyNumberFormat="1" applyFont="1" applyFill="1" applyBorder="1" applyAlignment="1">
      <alignment horizontal="center" vertical="top" wrapText="1"/>
    </xf>
    <xf numFmtId="164" fontId="57" fillId="0" borderId="64" xfId="0" applyNumberFormat="1" applyFont="1" applyBorder="1" applyAlignment="1">
      <alignment horizontal="center" vertical="top" wrapText="1"/>
    </xf>
    <xf numFmtId="164" fontId="5" fillId="0" borderId="36" xfId="301" applyNumberFormat="1" applyFont="1" applyBorder="1" applyAlignment="1">
      <alignment horizontal="right" vertical="center" wrapText="1"/>
    </xf>
    <xf numFmtId="167" fontId="5" fillId="0" borderId="0" xfId="302" applyNumberFormat="1" applyFont="1" applyAlignment="1" applyProtection="1">
      <alignment vertical="center" wrapText="1"/>
      <protection locked="0"/>
    </xf>
    <xf numFmtId="167" fontId="9" fillId="0" borderId="0" xfId="329" applyNumberFormat="1" applyFont="1" applyAlignment="1">
      <alignment horizontal="center" vertical="center" wrapText="1"/>
    </xf>
    <xf numFmtId="164" fontId="5" fillId="0" borderId="0" xfId="329" applyNumberFormat="1" applyFont="1" applyAlignment="1">
      <alignment horizontal="right" vertical="center" wrapText="1" indent="1"/>
    </xf>
    <xf numFmtId="167" fontId="5" fillId="0" borderId="0" xfId="302" applyNumberFormat="1" applyFont="1" applyAlignment="1" applyProtection="1">
      <alignment horizontal="center" vertical="center" wrapText="1"/>
      <protection locked="0"/>
    </xf>
    <xf numFmtId="49" fontId="5" fillId="0" borderId="21" xfId="302" applyNumberFormat="1" applyFont="1" applyBorder="1" applyAlignment="1" applyProtection="1">
      <alignment horizontal="left" vertical="center" wrapText="1"/>
      <protection locked="0"/>
    </xf>
    <xf numFmtId="164" fontId="8" fillId="0" borderId="0" xfId="302" applyNumberFormat="1" applyFont="1" applyAlignment="1" applyProtection="1">
      <alignment vertical="center" wrapText="1"/>
      <protection locked="0"/>
    </xf>
    <xf numFmtId="167" fontId="58" fillId="0" borderId="0" xfId="302" applyNumberFormat="1" applyFont="1" applyAlignment="1">
      <alignment vertical="center" wrapText="1"/>
    </xf>
    <xf numFmtId="49" fontId="5" fillId="0" borderId="14" xfId="302" applyNumberFormat="1" applyFont="1" applyBorder="1" applyAlignment="1" applyProtection="1">
      <alignment horizontal="center" vertical="center" wrapText="1"/>
      <protection locked="0"/>
    </xf>
    <xf numFmtId="167" fontId="8" fillId="0" borderId="0" xfId="302" applyNumberFormat="1" applyFont="1" applyAlignment="1" applyProtection="1">
      <alignment vertical="center" wrapText="1"/>
      <protection locked="0"/>
    </xf>
    <xf numFmtId="49" fontId="5" fillId="0" borderId="15" xfId="302" applyNumberFormat="1" applyFont="1" applyBorder="1" applyAlignment="1" applyProtection="1">
      <alignment horizontal="center" vertical="center" wrapText="1"/>
      <protection locked="0"/>
    </xf>
    <xf numFmtId="0" fontId="5" fillId="0" borderId="15" xfId="302" applyFont="1" applyBorder="1" applyAlignment="1" applyProtection="1">
      <alignment horizontal="center" vertical="center" wrapText="1"/>
      <protection locked="0" hidden="1"/>
    </xf>
    <xf numFmtId="164" fontId="8" fillId="0" borderId="0" xfId="302" applyNumberFormat="1" applyFont="1" applyAlignment="1" applyProtection="1">
      <alignment horizontal="right" vertical="center" wrapText="1"/>
      <protection locked="0"/>
    </xf>
    <xf numFmtId="164" fontId="5" fillId="0" borderId="40" xfId="302" applyNumberFormat="1" applyFont="1" applyBorder="1" applyAlignment="1" applyProtection="1">
      <alignment horizontal="right" vertical="top" wrapText="1"/>
      <protection locked="0"/>
    </xf>
    <xf numFmtId="49" fontId="5" fillId="0" borderId="0" xfId="302" applyNumberFormat="1" applyFont="1" applyAlignment="1" applyProtection="1">
      <alignment horizontal="center" vertical="top" wrapText="1"/>
      <protection locked="0"/>
    </xf>
    <xf numFmtId="49" fontId="5" fillId="0" borderId="17" xfId="302" applyNumberFormat="1" applyFont="1" applyBorder="1" applyAlignment="1" applyProtection="1">
      <alignment horizontal="center" vertical="center" wrapText="1"/>
      <protection locked="0"/>
    </xf>
    <xf numFmtId="49" fontId="5" fillId="0" borderId="18" xfId="302" applyNumberFormat="1" applyFont="1" applyBorder="1" applyAlignment="1" applyProtection="1">
      <alignment horizontal="center" vertical="center" wrapText="1"/>
      <protection locked="0"/>
    </xf>
    <xf numFmtId="0" fontId="5" fillId="0" borderId="18" xfId="302" applyFont="1" applyBorder="1" applyAlignment="1" applyProtection="1">
      <alignment horizontal="center" vertical="center" wrapText="1"/>
      <protection locked="0"/>
    </xf>
    <xf numFmtId="0" fontId="5" fillId="0" borderId="19" xfId="302" applyFont="1" applyBorder="1" applyAlignment="1" applyProtection="1">
      <alignment horizontal="center" vertical="center" wrapText="1"/>
      <protection locked="0"/>
    </xf>
    <xf numFmtId="167" fontId="58" fillId="0" borderId="0" xfId="302" applyNumberFormat="1" applyFont="1" applyAlignment="1">
      <alignment horizontal="center" vertical="center" wrapText="1"/>
    </xf>
    <xf numFmtId="49" fontId="55" fillId="0" borderId="21" xfId="302" applyNumberFormat="1" applyFont="1" applyBorder="1" applyAlignment="1" applyProtection="1">
      <alignment horizontal="center" vertical="center" wrapText="1"/>
      <protection locked="0"/>
    </xf>
    <xf numFmtId="49" fontId="5" fillId="0" borderId="23" xfId="302" applyNumberFormat="1" applyFont="1" applyBorder="1" applyAlignment="1" applyProtection="1">
      <alignment horizontal="center" vertical="center" wrapText="1"/>
      <protection locked="0"/>
    </xf>
    <xf numFmtId="49" fontId="55" fillId="0" borderId="24" xfId="302" applyNumberFormat="1" applyFont="1" applyBorder="1" applyAlignment="1" applyProtection="1">
      <alignment horizontal="left" vertical="center" wrapText="1"/>
      <protection locked="0"/>
    </xf>
    <xf numFmtId="49" fontId="5" fillId="0" borderId="24" xfId="302" applyNumberFormat="1" applyFont="1" applyBorder="1" applyAlignment="1" applyProtection="1">
      <alignment horizontal="center" vertical="center" wrapText="1"/>
      <protection locked="0"/>
    </xf>
    <xf numFmtId="168" fontId="5" fillId="0" borderId="21" xfId="302" applyNumberFormat="1" applyFont="1" applyBorder="1" applyAlignment="1" applyProtection="1">
      <alignment horizontal="center" vertical="center" wrapText="1"/>
      <protection locked="0"/>
    </xf>
    <xf numFmtId="168" fontId="5" fillId="0" borderId="22" xfId="302" applyNumberFormat="1" applyFont="1" applyBorder="1" applyAlignment="1" applyProtection="1">
      <alignment horizontal="center" vertical="center" wrapText="1"/>
      <protection locked="0"/>
    </xf>
    <xf numFmtId="49" fontId="55" fillId="0" borderId="21" xfId="302" applyNumberFormat="1" applyFont="1" applyBorder="1" applyAlignment="1" applyProtection="1">
      <alignment horizontal="left" vertical="center" wrapText="1"/>
      <protection locked="0"/>
    </xf>
    <xf numFmtId="168" fontId="5" fillId="0" borderId="30" xfId="302" applyNumberFormat="1" applyFont="1" applyBorder="1" applyAlignment="1" applyProtection="1">
      <alignment horizontal="right" vertical="center" wrapText="1"/>
      <protection locked="0"/>
    </xf>
    <xf numFmtId="168" fontId="5" fillId="0" borderId="32" xfId="302" applyNumberFormat="1" applyFont="1" applyBorder="1" applyAlignment="1" applyProtection="1">
      <alignment horizontal="right" vertical="center" wrapText="1"/>
      <protection locked="0"/>
    </xf>
    <xf numFmtId="167" fontId="55" fillId="0" borderId="0" xfId="302" applyNumberFormat="1" applyFont="1" applyAlignment="1" applyProtection="1">
      <alignment horizontal="center" vertical="center" wrapText="1"/>
      <protection locked="0"/>
    </xf>
    <xf numFmtId="167" fontId="8" fillId="0" borderId="0" xfId="302" applyNumberFormat="1" applyFont="1" applyAlignment="1" applyProtection="1">
      <alignment horizontal="center" vertical="center" wrapText="1"/>
      <protection locked="0"/>
    </xf>
    <xf numFmtId="164" fontId="8" fillId="0" borderId="0" xfId="302" applyNumberFormat="1" applyFont="1" applyAlignment="1">
      <alignment vertical="center" wrapText="1"/>
    </xf>
    <xf numFmtId="49" fontId="5" fillId="0" borderId="21" xfId="302" applyNumberFormat="1" applyFont="1" applyBorder="1" applyAlignment="1" applyProtection="1">
      <alignment horizontal="left" vertical="center" wrapText="1" indent="1"/>
      <protection locked="0"/>
    </xf>
    <xf numFmtId="167" fontId="8" fillId="0" borderId="0" xfId="302" applyNumberFormat="1" applyFont="1" applyAlignment="1" applyProtection="1">
      <alignment vertical="top" wrapText="1"/>
      <protection locked="0"/>
    </xf>
    <xf numFmtId="49" fontId="5" fillId="0" borderId="21" xfId="302" applyNumberFormat="1" applyFont="1" applyFill="1" applyBorder="1" applyAlignment="1" applyProtection="1">
      <alignment horizontal="left" vertical="center" wrapText="1" indent="4"/>
      <protection locked="0"/>
    </xf>
    <xf numFmtId="49" fontId="5" fillId="0" borderId="21" xfId="302" applyNumberFormat="1" applyFont="1" applyFill="1" applyBorder="1" applyAlignment="1" applyProtection="1">
      <alignment horizontal="center" vertical="center" wrapText="1"/>
      <protection locked="0"/>
    </xf>
    <xf numFmtId="168" fontId="5" fillId="0" borderId="21" xfId="302" applyNumberFormat="1" applyFont="1" applyFill="1" applyBorder="1" applyAlignment="1" applyProtection="1">
      <alignment horizontal="right" vertical="center" wrapText="1"/>
      <protection locked="0"/>
    </xf>
    <xf numFmtId="168" fontId="5" fillId="0" borderId="22" xfId="302" applyNumberFormat="1" applyFont="1" applyFill="1" applyBorder="1" applyAlignment="1" applyProtection="1">
      <alignment horizontal="right" vertical="center" wrapText="1"/>
      <protection locked="0"/>
    </xf>
    <xf numFmtId="49" fontId="5" fillId="0" borderId="21" xfId="302" applyNumberFormat="1" applyFont="1" applyFill="1" applyBorder="1" applyAlignment="1" applyProtection="1">
      <alignment horizontal="left" vertical="center" wrapText="1" indent="2"/>
      <protection locked="0"/>
    </xf>
    <xf numFmtId="167" fontId="5" fillId="0" borderId="0" xfId="301" applyNumberFormat="1" applyFont="1" applyAlignment="1" applyProtection="1">
      <alignment vertical="center"/>
      <protection locked="0"/>
    </xf>
    <xf numFmtId="164" fontId="8" fillId="0" borderId="0" xfId="301" applyNumberFormat="1" applyFont="1" applyAlignment="1">
      <alignment horizontal="right" vertical="center"/>
    </xf>
    <xf numFmtId="167" fontId="8" fillId="0" borderId="0" xfId="301" applyNumberFormat="1" applyFont="1" applyAlignment="1">
      <alignment vertical="top"/>
    </xf>
    <xf numFmtId="49" fontId="115" fillId="0" borderId="47" xfId="326" applyNumberFormat="1" applyFont="1" applyFill="1" applyBorder="1" applyAlignment="1" applyProtection="1">
      <alignment horizontal="center" vertical="center" wrapText="1"/>
      <protection locked="0"/>
    </xf>
    <xf numFmtId="167" fontId="5" fillId="0" borderId="0" xfId="302" applyNumberFormat="1" applyFont="1" applyAlignment="1" applyProtection="1">
      <alignment vertical="center"/>
      <protection locked="0"/>
    </xf>
    <xf numFmtId="167" fontId="5" fillId="0" borderId="0" xfId="302" applyNumberFormat="1" applyFont="1" applyAlignment="1">
      <alignment horizontal="right" vertical="center"/>
    </xf>
    <xf numFmtId="164" fontId="5" fillId="0" borderId="0" xfId="302" applyNumberFormat="1" applyFont="1" applyAlignment="1">
      <alignment vertical="center"/>
    </xf>
    <xf numFmtId="164" fontId="5" fillId="0" borderId="36" xfId="302" applyNumberFormat="1" applyFont="1" applyBorder="1" applyAlignment="1">
      <alignment vertical="center"/>
    </xf>
    <xf numFmtId="0" fontId="5" fillId="0" borderId="15" xfId="302" applyFont="1" applyBorder="1" applyAlignment="1" applyProtection="1">
      <alignment horizontal="center" vertical="center"/>
      <protection hidden="1"/>
    </xf>
    <xf numFmtId="167" fontId="57" fillId="0" borderId="0" xfId="302" applyNumberFormat="1" applyFont="1" applyAlignment="1">
      <alignment vertical="center"/>
    </xf>
    <xf numFmtId="167" fontId="5" fillId="0" borderId="0" xfId="302" applyNumberFormat="1" applyFont="1" applyAlignment="1" applyProtection="1">
      <alignment horizontal="right" vertical="center"/>
      <protection locked="0"/>
    </xf>
    <xf numFmtId="164" fontId="8" fillId="0" borderId="0" xfId="302" applyNumberFormat="1" applyFont="1" applyAlignment="1">
      <alignment horizontal="right" vertical="center"/>
    </xf>
    <xf numFmtId="164" fontId="5" fillId="0" borderId="0" xfId="302" applyNumberFormat="1" applyFont="1" applyAlignment="1">
      <alignment horizontal="right" vertical="center"/>
    </xf>
    <xf numFmtId="49" fontId="5" fillId="0" borderId="15" xfId="302" applyNumberFormat="1" applyFont="1" applyBorder="1" applyAlignment="1">
      <alignment horizontal="center" vertical="center"/>
    </xf>
    <xf numFmtId="0" fontId="117" fillId="0" borderId="0" xfId="302" applyFont="1" applyAlignment="1" applyProtection="1">
      <alignment horizontal="left"/>
      <protection locked="0"/>
    </xf>
    <xf numFmtId="167" fontId="118" fillId="0" borderId="0" xfId="302" applyNumberFormat="1" applyFont="1" applyAlignment="1" applyProtection="1">
      <alignment wrapText="1"/>
      <protection locked="0"/>
    </xf>
    <xf numFmtId="167" fontId="119" fillId="0" borderId="0" xfId="302" applyNumberFormat="1" applyFont="1" applyAlignment="1" applyProtection="1">
      <protection locked="0"/>
    </xf>
    <xf numFmtId="167" fontId="119" fillId="0" borderId="0" xfId="302" applyNumberFormat="1" applyFont="1" applyAlignment="1" applyProtection="1">
      <alignment horizontal="center"/>
      <protection locked="0"/>
    </xf>
    <xf numFmtId="167" fontId="120" fillId="0" borderId="0" xfId="302" applyNumberFormat="1" applyFont="1" applyAlignment="1"/>
    <xf numFmtId="167" fontId="118" fillId="0" borderId="0" xfId="302" applyNumberFormat="1" applyFont="1" applyAlignment="1">
      <alignment wrapText="1"/>
    </xf>
    <xf numFmtId="167" fontId="121" fillId="0" borderId="0" xfId="302" applyNumberFormat="1" applyFont="1" applyAlignment="1" applyProtection="1">
      <alignment vertical="center" wrapText="1"/>
      <protection locked="0"/>
    </xf>
    <xf numFmtId="0" fontId="119" fillId="0" borderId="0" xfId="302" applyFont="1" applyAlignment="1" applyProtection="1">
      <alignment horizontal="left"/>
      <protection locked="0"/>
    </xf>
    <xf numFmtId="167" fontId="119" fillId="0" borderId="0" xfId="302" applyNumberFormat="1" applyFont="1" applyAlignment="1" applyProtection="1">
      <alignment horizontal="center" vertical="center"/>
      <protection locked="0"/>
    </xf>
    <xf numFmtId="167" fontId="122" fillId="0" borderId="0" xfId="302" applyNumberFormat="1" applyFont="1" applyAlignment="1">
      <alignment vertical="center"/>
    </xf>
    <xf numFmtId="167" fontId="123" fillId="0" borderId="0" xfId="302" applyNumberFormat="1" applyFont="1" applyAlignment="1">
      <alignment vertical="center" wrapText="1"/>
    </xf>
    <xf numFmtId="167" fontId="118" fillId="0" borderId="0" xfId="302" applyNumberFormat="1" applyFont="1" applyAlignment="1" applyProtection="1">
      <alignment vertical="center" wrapText="1"/>
      <protection locked="0"/>
    </xf>
    <xf numFmtId="167" fontId="118" fillId="0" borderId="0" xfId="302" applyNumberFormat="1" applyFont="1" applyAlignment="1" applyProtection="1">
      <alignment horizontal="right" vertical="center"/>
      <protection locked="0"/>
    </xf>
    <xf numFmtId="167" fontId="118" fillId="0" borderId="0" xfId="302" applyNumberFormat="1" applyFont="1" applyAlignment="1" applyProtection="1">
      <alignment horizontal="center" vertical="center"/>
      <protection locked="0"/>
    </xf>
    <xf numFmtId="167" fontId="118" fillId="0" borderId="0" xfId="302" applyNumberFormat="1" applyFont="1" applyAlignment="1" applyProtection="1">
      <alignment vertical="center"/>
      <protection locked="0"/>
    </xf>
    <xf numFmtId="167" fontId="120" fillId="0" borderId="0" xfId="302" applyNumberFormat="1" applyFont="1" applyAlignment="1">
      <alignment vertical="center"/>
    </xf>
    <xf numFmtId="167" fontId="118" fillId="0" borderId="0" xfId="302" applyNumberFormat="1" applyFont="1" applyAlignment="1">
      <alignment vertical="center" wrapText="1"/>
    </xf>
    <xf numFmtId="167" fontId="124" fillId="0" borderId="0" xfId="302" applyNumberFormat="1" applyFont="1" applyAlignment="1" applyProtection="1">
      <alignment vertical="center" wrapText="1"/>
      <protection locked="0"/>
    </xf>
    <xf numFmtId="167" fontId="124" fillId="0" borderId="0" xfId="302" applyNumberFormat="1" applyFont="1" applyAlignment="1" applyProtection="1">
      <alignment horizontal="left" wrapText="1"/>
      <protection locked="0"/>
    </xf>
    <xf numFmtId="49" fontId="124" fillId="0" borderId="0" xfId="302" applyNumberFormat="1" applyFont="1" applyAlignment="1" applyProtection="1">
      <alignment vertical="center" wrapText="1"/>
      <protection locked="0"/>
    </xf>
    <xf numFmtId="167" fontId="124" fillId="0" borderId="0" xfId="302" applyNumberFormat="1" applyFont="1" applyAlignment="1" applyProtection="1">
      <alignment horizontal="right" vertical="center" wrapText="1"/>
      <protection locked="0"/>
    </xf>
    <xf numFmtId="167" fontId="125" fillId="0" borderId="0" xfId="302" applyNumberFormat="1" applyFont="1" applyAlignment="1">
      <alignment vertical="center" wrapText="1"/>
    </xf>
    <xf numFmtId="167" fontId="124" fillId="0" borderId="0" xfId="302" applyNumberFormat="1" applyFont="1" applyAlignment="1">
      <alignment vertical="center" wrapText="1"/>
    </xf>
    <xf numFmtId="167" fontId="118" fillId="0" borderId="0" xfId="302" applyNumberFormat="1" applyFont="1" applyAlignment="1">
      <alignment horizontal="center" vertical="center" wrapText="1"/>
    </xf>
    <xf numFmtId="164" fontId="118" fillId="0" borderId="0" xfId="302" applyNumberFormat="1" applyFont="1" applyAlignment="1">
      <alignment horizontal="right" vertical="center" wrapText="1"/>
    </xf>
    <xf numFmtId="164" fontId="118" fillId="0" borderId="0" xfId="302" applyNumberFormat="1" applyFont="1" applyAlignment="1">
      <alignment vertical="center" wrapText="1"/>
    </xf>
    <xf numFmtId="167" fontId="120" fillId="0" borderId="0" xfId="302" applyNumberFormat="1" applyFont="1" applyAlignment="1">
      <alignment vertical="center" wrapText="1"/>
    </xf>
    <xf numFmtId="0" fontId="119" fillId="0" borderId="80" xfId="302" applyFont="1" applyBorder="1" applyAlignment="1" applyProtection="1">
      <alignment horizontal="center"/>
      <protection locked="0"/>
    </xf>
    <xf numFmtId="167" fontId="119" fillId="0" borderId="80" xfId="302" applyNumberFormat="1" applyFont="1" applyBorder="1" applyAlignment="1" applyProtection="1">
      <alignment horizontal="center"/>
      <protection locked="0"/>
    </xf>
    <xf numFmtId="0" fontId="119" fillId="0" borderId="0" xfId="302" applyFont="1" applyBorder="1" applyAlignment="1" applyProtection="1">
      <alignment horizontal="center"/>
      <protection locked="0"/>
    </xf>
    <xf numFmtId="167" fontId="5" fillId="0" borderId="0" xfId="329" applyNumberFormat="1" applyFont="1" applyAlignment="1" applyProtection="1">
      <alignment vertical="center"/>
      <protection locked="0"/>
    </xf>
    <xf numFmtId="164" fontId="8" fillId="0" borderId="0" xfId="329" applyNumberFormat="1" applyFont="1" applyAlignment="1">
      <alignment horizontal="right" vertical="center"/>
    </xf>
    <xf numFmtId="164" fontId="5" fillId="0" borderId="0" xfId="329" applyNumberFormat="1" applyFont="1" applyAlignment="1">
      <alignment horizontal="right" vertical="center"/>
    </xf>
    <xf numFmtId="167" fontId="8" fillId="0" borderId="0" xfId="329" applyNumberFormat="1" applyFont="1" applyAlignment="1">
      <alignment vertical="center"/>
    </xf>
    <xf numFmtId="164" fontId="55" fillId="0" borderId="21" xfId="329" applyNumberFormat="1" applyFont="1" applyBorder="1" applyAlignment="1">
      <alignment horizontal="left" vertical="center" wrapText="1"/>
    </xf>
    <xf numFmtId="164" fontId="5" fillId="0" borderId="21" xfId="329" applyNumberFormat="1" applyFont="1" applyBorder="1" applyAlignment="1">
      <alignment horizontal="left" vertical="center" wrapText="1" indent="2"/>
    </xf>
    <xf numFmtId="164" fontId="5" fillId="0" borderId="21" xfId="329" applyNumberFormat="1" applyFont="1" applyBorder="1" applyAlignment="1">
      <alignment horizontal="left" vertical="center" wrapText="1" indent="4"/>
    </xf>
    <xf numFmtId="164" fontId="55" fillId="0" borderId="31" xfId="329" applyNumberFormat="1" applyFont="1" applyBorder="1" applyAlignment="1">
      <alignment horizontal="left" vertical="center" wrapText="1"/>
    </xf>
    <xf numFmtId="49" fontId="5" fillId="0" borderId="56" xfId="302" applyNumberFormat="1" applyFont="1" applyBorder="1" applyAlignment="1" applyProtection="1">
      <alignment horizontal="center" vertical="center" wrapText="1"/>
      <protection locked="0"/>
    </xf>
    <xf numFmtId="164" fontId="5" fillId="0" borderId="31" xfId="329" applyNumberFormat="1" applyFont="1" applyBorder="1" applyAlignment="1">
      <alignment horizontal="left" vertical="center" wrapText="1" indent="2"/>
    </xf>
    <xf numFmtId="164" fontId="55" fillId="0" borderId="24" xfId="329" applyNumberFormat="1" applyFont="1" applyBorder="1" applyAlignment="1">
      <alignment horizontal="left" vertical="center" wrapText="1"/>
    </xf>
    <xf numFmtId="0" fontId="6" fillId="0" borderId="0" xfId="329" applyFont="1"/>
    <xf numFmtId="167" fontId="6" fillId="0" borderId="0" xfId="329" applyNumberFormat="1" applyFont="1" applyAlignment="1">
      <alignment horizontal="center" vertical="center" wrapText="1"/>
    </xf>
    <xf numFmtId="167" fontId="6" fillId="0" borderId="0" xfId="329" applyNumberFormat="1" applyFont="1" applyAlignment="1">
      <alignment vertical="center" wrapText="1"/>
    </xf>
    <xf numFmtId="0" fontId="4" fillId="0" borderId="20" xfId="330" applyFont="1" applyBorder="1" applyAlignment="1">
      <alignment horizontal="center" vertical="center"/>
    </xf>
    <xf numFmtId="0" fontId="4" fillId="0" borderId="0" xfId="330" applyFont="1" applyAlignment="1">
      <alignment vertical="center"/>
    </xf>
    <xf numFmtId="0" fontId="4" fillId="0" borderId="56" xfId="330" applyFont="1" applyBorder="1" applyAlignment="1">
      <alignment horizontal="center" vertical="center"/>
    </xf>
    <xf numFmtId="0" fontId="6" fillId="0" borderId="56" xfId="329" applyFont="1" applyBorder="1" applyAlignment="1">
      <alignment horizontal="center"/>
    </xf>
    <xf numFmtId="0" fontId="6" fillId="0" borderId="61" xfId="329" applyFont="1" applyBorder="1" applyAlignment="1">
      <alignment horizontal="center"/>
    </xf>
    <xf numFmtId="0" fontId="6" fillId="0" borderId="20" xfId="329" applyFont="1" applyBorder="1" applyAlignment="1">
      <alignment horizontal="center"/>
    </xf>
    <xf numFmtId="0" fontId="6" fillId="0" borderId="56" xfId="329" applyFont="1" applyBorder="1"/>
    <xf numFmtId="0" fontId="6" fillId="0" borderId="61" xfId="329" applyFont="1" applyBorder="1"/>
    <xf numFmtId="3" fontId="4" fillId="0" borderId="0" xfId="330" applyNumberFormat="1" applyFont="1" applyAlignment="1">
      <alignment vertical="center" wrapText="1"/>
    </xf>
    <xf numFmtId="49" fontId="4" fillId="0" borderId="0" xfId="330" applyNumberFormat="1" applyFont="1" applyAlignment="1">
      <alignment vertical="center"/>
    </xf>
    <xf numFmtId="167" fontId="123" fillId="0" borderId="0" xfId="302" applyNumberFormat="1" applyFont="1" applyAlignment="1">
      <alignment vertical="center"/>
    </xf>
    <xf numFmtId="167" fontId="118" fillId="0" borderId="0" xfId="302" applyNumberFormat="1" applyFont="1" applyAlignment="1">
      <alignment vertical="center"/>
    </xf>
    <xf numFmtId="0" fontId="4" fillId="0" borderId="0" xfId="330" applyFont="1" applyAlignment="1">
      <alignment vertical="center" wrapText="1"/>
    </xf>
    <xf numFmtId="167" fontId="82" fillId="0" borderId="56" xfId="302" applyNumberFormat="1" applyFont="1" applyBorder="1" applyAlignment="1">
      <alignment vertical="center" wrapText="1"/>
    </xf>
    <xf numFmtId="167" fontId="82" fillId="0" borderId="56" xfId="302" applyNumberFormat="1" applyFont="1" applyBorder="1" applyAlignment="1">
      <alignment horizontal="left" vertical="center" wrapText="1" indent="1"/>
    </xf>
    <xf numFmtId="172" fontId="5" fillId="0" borderId="37" xfId="326" applyNumberFormat="1" applyFont="1" applyFill="1" applyBorder="1" applyAlignment="1" applyProtection="1">
      <alignment horizontal="left" vertical="center" wrapText="1"/>
      <protection locked="0"/>
    </xf>
    <xf numFmtId="172" fontId="5" fillId="0" borderId="37" xfId="326" applyNumberFormat="1" applyFont="1" applyFill="1" applyBorder="1" applyAlignment="1" applyProtection="1">
      <alignment horizontal="left" vertical="center" wrapText="1" indent="1"/>
      <protection locked="0"/>
    </xf>
    <xf numFmtId="172" fontId="117" fillId="0" borderId="30" xfId="326" applyNumberFormat="1" applyFont="1" applyFill="1" applyBorder="1" applyAlignment="1" applyProtection="1">
      <alignment horizontal="left" vertical="center" wrapText="1"/>
      <protection locked="0"/>
    </xf>
    <xf numFmtId="49" fontId="117" fillId="0" borderId="30" xfId="326" applyNumberFormat="1" applyFont="1" applyFill="1" applyBorder="1" applyAlignment="1" applyProtection="1">
      <alignment horizontal="center" vertical="center" wrapText="1"/>
      <protection locked="0"/>
    </xf>
    <xf numFmtId="167" fontId="126" fillId="0" borderId="25" xfId="302" applyNumberFormat="1" applyFont="1" applyBorder="1" applyAlignment="1">
      <alignment vertical="center" wrapText="1"/>
    </xf>
    <xf numFmtId="172" fontId="117" fillId="0" borderId="47" xfId="326" applyNumberFormat="1" applyFont="1" applyFill="1" applyBorder="1" applyAlignment="1" applyProtection="1">
      <alignment horizontal="left" vertical="center" wrapText="1"/>
      <protection locked="0"/>
    </xf>
    <xf numFmtId="49" fontId="117" fillId="0" borderId="47" xfId="326" applyNumberFormat="1" applyFont="1" applyFill="1" applyBorder="1" applyAlignment="1" applyProtection="1">
      <alignment horizontal="center" vertical="center" wrapText="1"/>
      <protection locked="0"/>
    </xf>
    <xf numFmtId="168" fontId="117" fillId="0" borderId="47" xfId="326" applyNumberFormat="1" applyFont="1" applyFill="1" applyBorder="1" applyAlignment="1" applyProtection="1">
      <alignment horizontal="right" vertical="center" wrapText="1"/>
      <protection locked="0"/>
    </xf>
    <xf numFmtId="168" fontId="117" fillId="0" borderId="55" xfId="326" applyNumberFormat="1" applyFont="1" applyFill="1" applyBorder="1" applyAlignment="1" applyProtection="1">
      <alignment horizontal="right" vertical="center" wrapText="1"/>
      <protection locked="0"/>
    </xf>
    <xf numFmtId="167" fontId="126" fillId="0" borderId="0" xfId="302" applyNumberFormat="1" applyFont="1" applyAlignment="1">
      <alignment vertical="center" wrapText="1"/>
    </xf>
    <xf numFmtId="167" fontId="127" fillId="0" borderId="0" xfId="302" applyNumberFormat="1" applyFont="1" applyAlignment="1">
      <alignment vertical="center"/>
    </xf>
    <xf numFmtId="167" fontId="126" fillId="0" borderId="56" xfId="302" applyNumberFormat="1" applyFont="1" applyBorder="1" applyAlignment="1">
      <alignment vertical="center" wrapText="1"/>
    </xf>
    <xf numFmtId="172" fontId="117" fillId="0" borderId="37" xfId="326" applyNumberFormat="1" applyFont="1" applyFill="1" applyBorder="1" applyAlignment="1" applyProtection="1">
      <alignment vertical="center" wrapText="1"/>
      <protection locked="0"/>
    </xf>
    <xf numFmtId="167" fontId="126" fillId="0" borderId="61" xfId="302" applyNumberFormat="1" applyFont="1" applyBorder="1" applyAlignment="1">
      <alignment vertical="center" wrapText="1"/>
    </xf>
    <xf numFmtId="168" fontId="117" fillId="0" borderId="30" xfId="326" applyNumberFormat="1" applyFont="1" applyFill="1" applyBorder="1" applyAlignment="1" applyProtection="1">
      <alignment horizontal="right" vertical="center" wrapText="1"/>
      <protection locked="0"/>
    </xf>
    <xf numFmtId="168" fontId="117" fillId="0" borderId="54" xfId="326" applyNumberFormat="1" applyFont="1" applyFill="1" applyBorder="1" applyAlignment="1" applyProtection="1">
      <alignment horizontal="right" vertical="center" wrapText="1"/>
      <protection locked="0"/>
    </xf>
    <xf numFmtId="167" fontId="128" fillId="0" borderId="0" xfId="302" applyNumberFormat="1" applyFont="1" applyAlignment="1">
      <alignment vertical="center" wrapText="1"/>
    </xf>
    <xf numFmtId="172" fontId="5" fillId="0" borderId="65" xfId="326" applyNumberFormat="1" applyFont="1" applyFill="1" applyBorder="1" applyAlignment="1" applyProtection="1">
      <alignment horizontal="left" vertical="center" wrapText="1" indent="1"/>
      <protection locked="0"/>
    </xf>
    <xf numFmtId="168" fontId="117" fillId="0" borderId="51" xfId="326" applyNumberFormat="1" applyFont="1" applyFill="1" applyBorder="1" applyAlignment="1" applyProtection="1">
      <alignment horizontal="right" vertical="center" wrapText="1"/>
      <protection locked="0"/>
    </xf>
    <xf numFmtId="168" fontId="119" fillId="0" borderId="51" xfId="326" applyNumberFormat="1" applyFont="1" applyFill="1" applyBorder="1" applyAlignment="1" applyProtection="1">
      <alignment horizontal="right" vertical="center" wrapText="1"/>
      <protection locked="0"/>
    </xf>
    <xf numFmtId="168" fontId="119" fillId="0" borderId="39" xfId="326" applyNumberFormat="1" applyFont="1" applyFill="1" applyBorder="1" applyAlignment="1" applyProtection="1">
      <alignment horizontal="right" vertical="center" wrapText="1"/>
      <protection locked="0"/>
    </xf>
    <xf numFmtId="167" fontId="124" fillId="0" borderId="0" xfId="302" applyNumberFormat="1" applyFont="1" applyAlignment="1" applyProtection="1">
      <alignment wrapText="1"/>
      <protection locked="0"/>
    </xf>
    <xf numFmtId="164" fontId="5" fillId="0" borderId="73" xfId="301" applyNumberFormat="1" applyFont="1" applyBorder="1" applyAlignment="1">
      <alignment horizontal="center" vertical="center" wrapText="1"/>
    </xf>
    <xf numFmtId="164" fontId="5" fillId="0" borderId="40" xfId="301" applyNumberFormat="1" applyFont="1" applyBorder="1" applyAlignment="1">
      <alignment horizontal="center" vertical="center" wrapText="1"/>
    </xf>
    <xf numFmtId="49" fontId="5" fillId="0" borderId="40" xfId="301" applyNumberFormat="1" applyFont="1" applyBorder="1" applyAlignment="1">
      <alignment horizontal="center" vertical="center" wrapText="1"/>
    </xf>
    <xf numFmtId="164" fontId="5" fillId="0" borderId="29" xfId="301" applyNumberFormat="1" applyFont="1" applyBorder="1" applyAlignment="1">
      <alignment horizontal="center" vertical="center" wrapText="1"/>
    </xf>
    <xf numFmtId="167" fontId="56" fillId="0" borderId="0" xfId="301" applyNumberFormat="1" applyFont="1" applyBorder="1" applyAlignment="1">
      <alignment vertical="center" wrapText="1"/>
    </xf>
    <xf numFmtId="167" fontId="56" fillId="0" borderId="0" xfId="301" applyNumberFormat="1" applyFont="1" applyBorder="1" applyAlignment="1">
      <alignment horizontal="left" vertical="center" wrapText="1"/>
    </xf>
    <xf numFmtId="49" fontId="56" fillId="0" borderId="0" xfId="301" applyNumberFormat="1" applyFont="1" applyBorder="1" applyAlignment="1">
      <alignment vertical="center" wrapText="1"/>
    </xf>
    <xf numFmtId="0" fontId="5" fillId="0" borderId="15" xfId="301" applyFont="1" applyFill="1" applyBorder="1" applyAlignment="1" applyProtection="1">
      <alignment horizontal="center" vertical="center" wrapText="1"/>
      <protection locked="0"/>
    </xf>
    <xf numFmtId="0" fontId="5" fillId="0" borderId="15" xfId="301" applyFont="1" applyFill="1" applyBorder="1" applyAlignment="1">
      <alignment horizontal="center" vertical="center" wrapText="1"/>
    </xf>
    <xf numFmtId="0" fontId="5" fillId="0" borderId="15" xfId="302" applyFont="1" applyFill="1" applyBorder="1" applyAlignment="1">
      <alignment horizontal="center" vertical="center" wrapText="1"/>
    </xf>
    <xf numFmtId="0" fontId="5" fillId="0" borderId="15" xfId="302" applyFont="1" applyFill="1" applyBorder="1" applyAlignment="1" applyProtection="1">
      <alignment horizontal="center" vertical="center" wrapText="1"/>
      <protection hidden="1"/>
    </xf>
    <xf numFmtId="0" fontId="0" fillId="0" borderId="0" xfId="0" applyFill="1"/>
    <xf numFmtId="0" fontId="132" fillId="0" borderId="0" xfId="0" applyFont="1"/>
    <xf numFmtId="0" fontId="130" fillId="0" borderId="0" xfId="0" applyFont="1"/>
    <xf numFmtId="0" fontId="136" fillId="0" borderId="43" xfId="0" applyFont="1" applyBorder="1" applyAlignment="1">
      <alignment horizontal="center" vertical="center"/>
    </xf>
    <xf numFmtId="0" fontId="137" fillId="0" borderId="43" xfId="0" applyFont="1" applyBorder="1" applyAlignment="1">
      <alignment horizontal="center" vertical="center"/>
    </xf>
    <xf numFmtId="0" fontId="139" fillId="0" borderId="43" xfId="0" applyFont="1" applyBorder="1" applyAlignment="1">
      <alignment vertical="center"/>
    </xf>
    <xf numFmtId="49" fontId="136" fillId="0" borderId="43" xfId="0" applyNumberFormat="1" applyFont="1" applyBorder="1" applyAlignment="1">
      <alignment horizontal="center" vertical="center"/>
    </xf>
    <xf numFmtId="49" fontId="138" fillId="42" borderId="43" xfId="327" applyNumberFormat="1" applyFont="1" applyFill="1" applyBorder="1" applyAlignment="1">
      <alignment vertical="center"/>
    </xf>
    <xf numFmtId="0" fontId="137" fillId="0" borderId="43" xfId="0" applyFont="1" applyBorder="1" applyAlignment="1">
      <alignment vertical="center"/>
    </xf>
    <xf numFmtId="49" fontId="139" fillId="0" borderId="43" xfId="0" applyNumberFormat="1" applyFont="1" applyBorder="1" applyAlignment="1">
      <alignment vertical="center"/>
    </xf>
    <xf numFmtId="49" fontId="138" fillId="0" borderId="43" xfId="327" applyNumberFormat="1" applyFont="1" applyBorder="1" applyAlignment="1">
      <alignment vertical="center"/>
    </xf>
    <xf numFmtId="49" fontId="65" fillId="42" borderId="43" xfId="327" applyNumberFormat="1" applyFill="1" applyBorder="1" applyAlignment="1">
      <alignment vertical="center"/>
    </xf>
    <xf numFmtId="0" fontId="140" fillId="0" borderId="43" xfId="0" applyFont="1" applyBorder="1"/>
    <xf numFmtId="0" fontId="140" fillId="0" borderId="0" xfId="0" applyFont="1"/>
    <xf numFmtId="0" fontId="60" fillId="0" borderId="0" xfId="0" applyFont="1" applyAlignment="1">
      <alignment horizontal="left" vertical="center"/>
    </xf>
    <xf numFmtId="0" fontId="60" fillId="40" borderId="43" xfId="0" applyFont="1" applyFill="1" applyBorder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0" fillId="0" borderId="43" xfId="0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134" fillId="40" borderId="43" xfId="0" applyFont="1" applyFill="1" applyBorder="1" applyAlignment="1">
      <alignment horizontal="left" vertical="center"/>
    </xf>
    <xf numFmtId="0" fontId="131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134" fillId="0" borderId="0" xfId="0" applyFont="1" applyFill="1" applyAlignment="1">
      <alignment horizontal="left" vertical="center"/>
    </xf>
    <xf numFmtId="0" fontId="142" fillId="0" borderId="0" xfId="0" applyFont="1"/>
    <xf numFmtId="0" fontId="140" fillId="40" borderId="43" xfId="0" applyFont="1" applyFill="1" applyBorder="1" applyAlignment="1">
      <alignment horizontal="left" vertical="center"/>
    </xf>
    <xf numFmtId="0" fontId="140" fillId="40" borderId="43" xfId="0" applyFont="1" applyFill="1" applyBorder="1" applyAlignment="1">
      <alignment horizontal="left" vertical="center" wrapText="1"/>
    </xf>
    <xf numFmtId="49" fontId="140" fillId="0" borderId="43" xfId="0" applyNumberFormat="1" applyFont="1" applyBorder="1" applyAlignment="1">
      <alignment horizontal="left" vertical="center" wrapText="1"/>
    </xf>
    <xf numFmtId="49" fontId="140" fillId="0" borderId="43" xfId="0" applyNumberFormat="1" applyFont="1" applyBorder="1" applyAlignment="1">
      <alignment horizontal="left" vertical="center"/>
    </xf>
    <xf numFmtId="49" fontId="133" fillId="0" borderId="0" xfId="0" applyNumberFormat="1" applyFont="1" applyAlignment="1">
      <alignment horizontal="left" vertical="center"/>
    </xf>
    <xf numFmtId="49" fontId="141" fillId="0" borderId="0" xfId="0" applyNumberFormat="1" applyFont="1" applyAlignment="1">
      <alignment horizontal="left" vertical="center"/>
    </xf>
    <xf numFmtId="0" fontId="135" fillId="0" borderId="0" xfId="0" applyFont="1" applyAlignment="1">
      <alignment horizontal="left" vertical="center" wrapText="1"/>
    </xf>
    <xf numFmtId="0" fontId="78" fillId="0" borderId="0" xfId="327" applyFont="1" applyBorder="1" applyAlignment="1">
      <alignment horizontal="left" vertical="center"/>
    </xf>
    <xf numFmtId="0" fontId="13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3" fillId="41" borderId="0" xfId="0" applyFont="1" applyFill="1" applyAlignment="1">
      <alignment horizontal="center" wrapText="1"/>
    </xf>
    <xf numFmtId="0" fontId="144" fillId="41" borderId="0" xfId="0" applyFont="1" applyFill="1"/>
    <xf numFmtId="0" fontId="86" fillId="41" borderId="0" xfId="0" applyFont="1" applyFill="1"/>
    <xf numFmtId="0" fontId="129" fillId="41" borderId="0" xfId="0" applyFont="1" applyFill="1"/>
    <xf numFmtId="0" fontId="86" fillId="41" borderId="0" xfId="0" applyFont="1" applyFill="1" applyBorder="1" applyAlignment="1">
      <alignment horizontal="left" wrapText="1"/>
    </xf>
    <xf numFmtId="0" fontId="86" fillId="41" borderId="0" xfId="0" applyFont="1" applyFill="1" applyBorder="1"/>
    <xf numFmtId="0" fontId="86" fillId="41" borderId="0" xfId="0" applyFont="1" applyFill="1" applyBorder="1" applyAlignment="1">
      <alignment horizontal="left"/>
    </xf>
    <xf numFmtId="0" fontId="144" fillId="41" borderId="0" xfId="0" applyFont="1" applyFill="1" applyBorder="1"/>
    <xf numFmtId="49" fontId="86" fillId="41" borderId="0" xfId="0" applyNumberFormat="1" applyFont="1" applyFill="1" applyBorder="1" applyAlignment="1"/>
    <xf numFmtId="49" fontId="86" fillId="41" borderId="0" xfId="0" applyNumberFormat="1" applyFont="1" applyFill="1" applyBorder="1" applyAlignment="1">
      <alignment horizontal="left"/>
    </xf>
    <xf numFmtId="0" fontId="86" fillId="41" borderId="0" xfId="0" applyFont="1" applyFill="1" applyAlignment="1">
      <alignment wrapText="1"/>
    </xf>
    <xf numFmtId="0" fontId="86" fillId="41" borderId="0" xfId="0" applyFont="1" applyFill="1" applyAlignment="1">
      <alignment horizontal="right"/>
    </xf>
    <xf numFmtId="49" fontId="86" fillId="41" borderId="0" xfId="0" applyNumberFormat="1" applyFont="1" applyFill="1" applyBorder="1" applyAlignment="1">
      <alignment horizontal="center"/>
    </xf>
    <xf numFmtId="0" fontId="86" fillId="41" borderId="0" xfId="0" applyFont="1" applyFill="1" applyBorder="1" applyAlignment="1">
      <alignment vertical="top" wrapText="1"/>
    </xf>
    <xf numFmtId="0" fontId="145" fillId="41" borderId="0" xfId="0" applyFont="1" applyFill="1"/>
    <xf numFmtId="0" fontId="60" fillId="0" borderId="0" xfId="0" applyFont="1" applyAlignment="1">
      <alignment horizontal="left"/>
    </xf>
    <xf numFmtId="168" fontId="57" fillId="0" borderId="37" xfId="0" applyNumberFormat="1" applyFont="1" applyBorder="1" applyAlignment="1">
      <alignment horizontal="right" vertical="center" wrapText="1"/>
    </xf>
    <xf numFmtId="168" fontId="57" fillId="0" borderId="50" xfId="0" applyNumberFormat="1" applyFont="1" applyBorder="1" applyAlignment="1">
      <alignment horizontal="right" vertical="center" wrapText="1"/>
    </xf>
    <xf numFmtId="168" fontId="57" fillId="0" borderId="60" xfId="0" applyNumberFormat="1" applyFont="1" applyBorder="1" applyAlignment="1">
      <alignment horizontal="right" vertical="center" wrapText="1"/>
    </xf>
    <xf numFmtId="168" fontId="57" fillId="0" borderId="93" xfId="0" applyNumberFormat="1" applyFont="1" applyBorder="1" applyAlignment="1">
      <alignment horizontal="right" vertical="center" wrapText="1"/>
    </xf>
    <xf numFmtId="168" fontId="117" fillId="0" borderId="37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30" xfId="326" applyNumberFormat="1" applyFont="1" applyFill="1" applyBorder="1" applyAlignment="1" applyProtection="1">
      <alignment horizontal="right" vertical="center" wrapText="1"/>
      <protection locked="0"/>
    </xf>
    <xf numFmtId="49" fontId="65" fillId="0" borderId="43" xfId="327" applyNumberFormat="1" applyBorder="1" applyAlignment="1">
      <alignment vertical="center"/>
    </xf>
    <xf numFmtId="168" fontId="57" fillId="0" borderId="26" xfId="0" applyNumberFormat="1" applyFont="1" applyBorder="1" applyAlignment="1">
      <alignment horizontal="right" vertical="center" wrapText="1"/>
    </xf>
    <xf numFmtId="0" fontId="57" fillId="0" borderId="37" xfId="0" applyFont="1" applyBorder="1" applyAlignment="1">
      <alignment horizontal="center"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168" fontId="57" fillId="0" borderId="51" xfId="0" applyNumberFormat="1" applyFont="1" applyBorder="1" applyAlignment="1">
      <alignment horizontal="right" vertical="center" wrapText="1"/>
    </xf>
    <xf numFmtId="0" fontId="5" fillId="0" borderId="19" xfId="301" applyFont="1" applyFill="1" applyBorder="1" applyAlignment="1" applyProtection="1">
      <alignment horizontal="center" vertical="center" wrapText="1"/>
      <protection locked="0"/>
    </xf>
    <xf numFmtId="49" fontId="5" fillId="0" borderId="61" xfId="302" applyNumberFormat="1" applyFont="1" applyBorder="1" applyAlignment="1" applyProtection="1">
      <alignment horizontal="center" vertical="center" wrapText="1"/>
      <protection locked="0"/>
    </xf>
    <xf numFmtId="49" fontId="55" fillId="0" borderId="31" xfId="302" applyNumberFormat="1" applyFont="1" applyBorder="1" applyAlignment="1" applyProtection="1">
      <alignment horizontal="left" vertical="center" wrapText="1"/>
      <protection locked="0"/>
    </xf>
    <xf numFmtId="49" fontId="5" fillId="0" borderId="31" xfId="302" applyNumberFormat="1" applyFont="1" applyBorder="1" applyAlignment="1" applyProtection="1">
      <alignment horizontal="center" vertical="center" wrapText="1"/>
      <protection locked="0"/>
    </xf>
    <xf numFmtId="49" fontId="55" fillId="0" borderId="33" xfId="302" applyNumberFormat="1" applyFont="1" applyBorder="1" applyAlignment="1" applyProtection="1">
      <alignment vertical="center" wrapText="1"/>
      <protection locked="0"/>
    </xf>
    <xf numFmtId="168" fontId="5" fillId="0" borderId="51" xfId="302" applyNumberFormat="1" applyFont="1" applyBorder="1" applyAlignment="1" applyProtection="1">
      <alignment horizontal="right" vertical="center" wrapText="1"/>
      <protection locked="0"/>
    </xf>
    <xf numFmtId="0" fontId="5" fillId="0" borderId="96" xfId="301" applyFont="1" applyBorder="1" applyAlignment="1" applyProtection="1">
      <alignment horizontal="center" vertical="center" wrapText="1"/>
      <protection locked="0" hidden="1"/>
    </xf>
    <xf numFmtId="168" fontId="57" fillId="0" borderId="21" xfId="0" applyNumberFormat="1" applyFont="1" applyFill="1" applyBorder="1" applyAlignment="1">
      <alignment horizontal="right" vertical="center" wrapText="1"/>
    </xf>
    <xf numFmtId="168" fontId="57" fillId="0" borderId="51" xfId="0" applyNumberFormat="1" applyFont="1" applyFill="1" applyBorder="1" applyAlignment="1">
      <alignment horizontal="right" vertical="center" wrapText="1"/>
    </xf>
    <xf numFmtId="168" fontId="57" fillId="0" borderId="53" xfId="0" applyNumberFormat="1" applyFont="1" applyBorder="1" applyAlignment="1">
      <alignment horizontal="right" vertical="center" wrapText="1"/>
    </xf>
    <xf numFmtId="168" fontId="57" fillId="0" borderId="59" xfId="0" applyNumberFormat="1" applyFont="1" applyBorder="1" applyAlignment="1">
      <alignment horizontal="right" vertical="center" wrapText="1"/>
    </xf>
    <xf numFmtId="164" fontId="57" fillId="0" borderId="56" xfId="0" applyNumberFormat="1" applyFont="1" applyBorder="1" applyAlignment="1">
      <alignment vertical="center" wrapText="1"/>
    </xf>
    <xf numFmtId="164" fontId="57" fillId="0" borderId="31" xfId="0" applyNumberFormat="1" applyFont="1" applyFill="1" applyBorder="1" applyAlignment="1" applyProtection="1">
      <alignment horizontal="center" vertical="center" wrapText="1"/>
      <protection locked="0"/>
    </xf>
    <xf numFmtId="164" fontId="57" fillId="0" borderId="32" xfId="0" applyNumberFormat="1" applyFont="1" applyFill="1" applyBorder="1" applyAlignment="1" applyProtection="1">
      <alignment horizontal="center" vertical="center" wrapText="1"/>
      <protection locked="0"/>
    </xf>
    <xf numFmtId="168" fontId="57" fillId="0" borderId="42" xfId="0" applyNumberFormat="1" applyFont="1" applyFill="1" applyBorder="1" applyAlignment="1">
      <alignment vertical="center" wrapText="1"/>
    </xf>
    <xf numFmtId="168" fontId="57" fillId="0" borderId="18" xfId="0" applyNumberFormat="1" applyFont="1" applyFill="1" applyBorder="1" applyAlignment="1">
      <alignment vertical="center" wrapText="1"/>
    </xf>
    <xf numFmtId="164" fontId="57" fillId="0" borderId="30" xfId="0" applyNumberFormat="1" applyFont="1" applyBorder="1" applyAlignment="1" applyProtection="1">
      <alignment horizontal="center" vertical="center" wrapText="1"/>
      <protection locked="0"/>
    </xf>
    <xf numFmtId="168" fontId="57" fillId="0" borderId="53" xfId="0" applyNumberFormat="1" applyFont="1" applyFill="1" applyBorder="1" applyAlignment="1" applyProtection="1">
      <alignment horizontal="right" vertical="center"/>
      <protection locked="0"/>
    </xf>
    <xf numFmtId="168" fontId="57" fillId="0" borderId="59" xfId="0" applyNumberFormat="1" applyFont="1" applyBorder="1" applyAlignment="1" applyProtection="1">
      <alignment horizontal="right" vertical="center"/>
      <protection locked="0"/>
    </xf>
    <xf numFmtId="168" fontId="57" fillId="0" borderId="50" xfId="0" applyNumberFormat="1" applyFont="1" applyFill="1" applyBorder="1" applyAlignment="1" applyProtection="1">
      <alignment horizontal="right" vertical="center" wrapText="1"/>
      <protection locked="0"/>
    </xf>
    <xf numFmtId="168" fontId="57" fillId="0" borderId="53" xfId="0" applyNumberFormat="1" applyFont="1" applyBorder="1" applyAlignment="1" applyProtection="1">
      <alignment horizontal="right" vertical="center"/>
      <protection locked="0"/>
    </xf>
    <xf numFmtId="164" fontId="57" fillId="0" borderId="52" xfId="0" applyNumberFormat="1" applyFont="1" applyBorder="1" applyAlignment="1">
      <alignment vertical="center" wrapText="1"/>
    </xf>
    <xf numFmtId="168" fontId="57" fillId="0" borderId="45" xfId="0" applyNumberFormat="1" applyFont="1" applyFill="1" applyBorder="1" applyAlignment="1">
      <alignment vertical="center" wrapText="1"/>
    </xf>
    <xf numFmtId="168" fontId="57" fillId="0" borderId="38" xfId="0" applyNumberFormat="1" applyFont="1" applyBorder="1" applyAlignment="1">
      <alignment vertical="center" wrapText="1"/>
    </xf>
    <xf numFmtId="168" fontId="57" fillId="0" borderId="31" xfId="0" applyNumberFormat="1" applyFont="1" applyBorder="1" applyAlignment="1">
      <alignment vertical="center" wrapText="1"/>
    </xf>
    <xf numFmtId="168" fontId="57" fillId="0" borderId="37" xfId="0" applyNumberFormat="1" applyFont="1" applyFill="1" applyBorder="1" applyAlignment="1">
      <alignment horizontal="right" vertical="center" wrapText="1"/>
    </xf>
    <xf numFmtId="168" fontId="57" fillId="0" borderId="53" xfId="0" applyNumberFormat="1" applyFont="1" applyBorder="1" applyAlignment="1">
      <alignment horizontal="right" vertical="center"/>
    </xf>
    <xf numFmtId="168" fontId="57" fillId="0" borderId="59" xfId="0" applyNumberFormat="1" applyFont="1" applyBorder="1" applyAlignment="1">
      <alignment horizontal="right" vertical="center"/>
    </xf>
    <xf numFmtId="0" fontId="57" fillId="0" borderId="50" xfId="0" applyFont="1" applyFill="1" applyBorder="1" applyAlignment="1">
      <alignment horizontal="center" vertical="center" wrapText="1"/>
    </xf>
    <xf numFmtId="0" fontId="93" fillId="0" borderId="24" xfId="0" applyFont="1" applyBorder="1" applyAlignment="1">
      <alignment vertical="center" wrapText="1"/>
    </xf>
    <xf numFmtId="168" fontId="57" fillId="0" borderId="26" xfId="0" applyNumberFormat="1" applyFont="1" applyFill="1" applyBorder="1" applyAlignment="1">
      <alignment vertical="center" wrapText="1"/>
    </xf>
    <xf numFmtId="168" fontId="57" fillId="0" borderId="31" xfId="0" applyNumberFormat="1" applyFont="1" applyFill="1" applyBorder="1" applyAlignment="1">
      <alignment vertical="center" wrapText="1"/>
    </xf>
    <xf numFmtId="167" fontId="119" fillId="0" borderId="0" xfId="302" applyNumberFormat="1" applyFont="1" applyBorder="1" applyAlignment="1" applyProtection="1">
      <protection locked="0"/>
    </xf>
    <xf numFmtId="0" fontId="119" fillId="0" borderId="0" xfId="302" applyFont="1" applyBorder="1" applyAlignment="1" applyProtection="1">
      <protection locked="0"/>
    </xf>
    <xf numFmtId="0" fontId="117" fillId="0" borderId="0" xfId="302" applyFont="1" applyBorder="1" applyAlignment="1" applyProtection="1">
      <protection locked="0"/>
    </xf>
    <xf numFmtId="0" fontId="119" fillId="0" borderId="0" xfId="302" applyFont="1" applyBorder="1" applyAlignment="1" applyProtection="1">
      <alignment vertical="center"/>
      <protection locked="0"/>
    </xf>
    <xf numFmtId="168" fontId="57" fillId="0" borderId="50" xfId="0" applyNumberFormat="1" applyFont="1" applyFill="1" applyBorder="1" applyAlignment="1">
      <alignment horizontal="right" vertical="center"/>
    </xf>
    <xf numFmtId="168" fontId="57" fillId="0" borderId="60" xfId="0" applyNumberFormat="1" applyFont="1" applyFill="1" applyBorder="1" applyAlignment="1">
      <alignment horizontal="right" vertical="center"/>
    </xf>
    <xf numFmtId="0" fontId="86" fillId="0" borderId="0" xfId="0" applyFont="1" applyFill="1" applyAlignment="1">
      <alignment vertical="center"/>
    </xf>
    <xf numFmtId="0" fontId="92" fillId="0" borderId="0" xfId="0" applyFont="1" applyFill="1" applyAlignment="1">
      <alignment vertical="center"/>
    </xf>
    <xf numFmtId="0" fontId="147" fillId="0" borderId="0" xfId="0" applyFont="1" applyFill="1" applyBorder="1" applyAlignment="1">
      <alignment vertical="center"/>
    </xf>
    <xf numFmtId="0" fontId="148" fillId="0" borderId="0" xfId="0" applyFont="1" applyFill="1" applyBorder="1" applyAlignment="1">
      <alignment vertical="center"/>
    </xf>
    <xf numFmtId="168" fontId="146" fillId="0" borderId="0" xfId="0" applyNumberFormat="1" applyFont="1" applyFill="1" applyBorder="1" applyAlignment="1">
      <alignment horizontal="right" vertical="center" wrapText="1"/>
    </xf>
    <xf numFmtId="0" fontId="148" fillId="0" borderId="0" xfId="0" applyFont="1" applyFill="1" applyAlignment="1">
      <alignment vertical="center"/>
    </xf>
    <xf numFmtId="49" fontId="55" fillId="0" borderId="38" xfId="302" applyNumberFormat="1" applyFont="1" applyBorder="1" applyAlignment="1" applyProtection="1">
      <alignment horizontal="left" vertical="center" wrapText="1"/>
      <protection locked="0"/>
    </xf>
    <xf numFmtId="49" fontId="5" fillId="0" borderId="38" xfId="302" applyNumberFormat="1" applyFont="1" applyBorder="1" applyAlignment="1" applyProtection="1">
      <alignment horizontal="center" vertical="center" wrapText="1"/>
      <protection locked="0"/>
    </xf>
    <xf numFmtId="168" fontId="5" fillId="0" borderId="38" xfId="302" applyNumberFormat="1" applyFont="1" applyBorder="1" applyAlignment="1" applyProtection="1">
      <alignment horizontal="right" vertical="center" wrapText="1"/>
      <protection locked="0"/>
    </xf>
    <xf numFmtId="49" fontId="5" fillId="0" borderId="57" xfId="302" applyNumberFormat="1" applyFont="1" applyBorder="1" applyAlignment="1" applyProtection="1">
      <alignment horizontal="center" vertical="center" wrapText="1"/>
      <protection locked="0"/>
    </xf>
    <xf numFmtId="49" fontId="5" fillId="0" borderId="94" xfId="302" applyNumberFormat="1" applyFont="1" applyBorder="1" applyAlignment="1" applyProtection="1">
      <alignment horizontal="center" vertical="center" wrapText="1"/>
      <protection locked="0"/>
    </xf>
    <xf numFmtId="49" fontId="5" fillId="0" borderId="94" xfId="301" applyNumberFormat="1" applyFont="1" applyBorder="1" applyAlignment="1" applyProtection="1">
      <alignment horizontal="center" vertical="center" wrapText="1"/>
      <protection locked="0"/>
    </xf>
    <xf numFmtId="0" fontId="5" fillId="0" borderId="94" xfId="302" applyFont="1" applyBorder="1" applyAlignment="1" applyProtection="1">
      <alignment horizontal="center" vertical="center" wrapText="1"/>
      <protection locked="0"/>
    </xf>
    <xf numFmtId="0" fontId="5" fillId="0" borderId="97" xfId="302" applyFont="1" applyBorder="1" applyAlignment="1" applyProtection="1">
      <alignment horizontal="center" vertical="center" wrapText="1"/>
      <protection locked="0"/>
    </xf>
    <xf numFmtId="49" fontId="5" fillId="0" borderId="37" xfId="326" applyNumberFormat="1" applyFont="1" applyFill="1" applyBorder="1" applyAlignment="1" applyProtection="1">
      <alignment horizontal="center" wrapText="1"/>
      <protection locked="0"/>
    </xf>
    <xf numFmtId="168" fontId="5" fillId="0" borderId="50" xfId="326" applyNumberFormat="1" applyFont="1" applyFill="1" applyBorder="1" applyAlignment="1" applyProtection="1">
      <alignment horizontal="right" wrapText="1"/>
      <protection locked="0"/>
    </xf>
    <xf numFmtId="168" fontId="5" fillId="0" borderId="37" xfId="326" applyNumberFormat="1" applyFont="1" applyFill="1" applyBorder="1" applyAlignment="1" applyProtection="1">
      <alignment horizontal="right" wrapText="1"/>
      <protection locked="0"/>
    </xf>
    <xf numFmtId="168" fontId="119" fillId="0" borderId="51" xfId="326" applyNumberFormat="1" applyFont="1" applyFill="1" applyBorder="1" applyAlignment="1" applyProtection="1">
      <alignment horizontal="right" wrapText="1"/>
      <protection locked="0"/>
    </xf>
    <xf numFmtId="0" fontId="5" fillId="0" borderId="37" xfId="326" applyNumberFormat="1" applyFont="1" applyFill="1" applyBorder="1" applyAlignment="1" applyProtection="1">
      <alignment horizontal="center" vertical="center" wrapText="1"/>
      <protection locked="0"/>
    </xf>
    <xf numFmtId="167" fontId="9" fillId="0" borderId="0" xfId="302" applyNumberFormat="1" applyFont="1" applyAlignment="1">
      <alignment horizontal="center" vertical="center" wrapText="1"/>
    </xf>
    <xf numFmtId="0" fontId="5" fillId="0" borderId="15" xfId="302" applyFont="1" applyBorder="1" applyAlignment="1">
      <alignment horizontal="center" vertical="center" wrapText="1"/>
    </xf>
    <xf numFmtId="167" fontId="5" fillId="0" borderId="0" xfId="302" applyNumberFormat="1" applyFont="1" applyAlignment="1" applyProtection="1">
      <alignment horizontal="right" vertical="center" wrapText="1"/>
      <protection locked="0"/>
    </xf>
    <xf numFmtId="164" fontId="5" fillId="0" borderId="0" xfId="302" applyNumberFormat="1" applyFont="1" applyAlignment="1">
      <alignment horizontal="right" vertical="center" wrapText="1"/>
    </xf>
    <xf numFmtId="0" fontId="5" fillId="0" borderId="41" xfId="302" applyFont="1" applyBorder="1" applyAlignment="1" applyProtection="1">
      <alignment horizontal="center" vertical="center" wrapText="1"/>
      <protection locked="0"/>
    </xf>
    <xf numFmtId="164" fontId="5" fillId="0" borderId="0" xfId="302" applyNumberFormat="1" applyFont="1" applyAlignment="1">
      <alignment horizontal="center" vertical="center" wrapText="1"/>
    </xf>
    <xf numFmtId="167" fontId="5" fillId="0" borderId="17" xfId="302" applyNumberFormat="1" applyFont="1" applyBorder="1" applyAlignment="1">
      <alignment horizontal="center" vertical="center" wrapText="1"/>
    </xf>
    <xf numFmtId="172" fontId="55" fillId="0" borderId="20" xfId="326" applyNumberFormat="1" applyFont="1" applyFill="1" applyBorder="1" applyAlignment="1" applyProtection="1">
      <alignment horizontal="left" vertical="center" wrapText="1"/>
      <protection locked="0"/>
    </xf>
    <xf numFmtId="49" fontId="5" fillId="0" borderId="50" xfId="326" applyNumberFormat="1" applyFont="1" applyFill="1" applyBorder="1" applyAlignment="1" applyProtection="1">
      <alignment horizontal="center" vertical="center" wrapText="1"/>
      <protection locked="0"/>
    </xf>
    <xf numFmtId="168" fontId="5" fillId="0" borderId="46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51" xfId="326" applyNumberFormat="1" applyFont="1" applyFill="1" applyBorder="1" applyAlignment="1" applyProtection="1">
      <alignment horizontal="right" vertical="center" wrapText="1"/>
      <protection locked="0"/>
    </xf>
    <xf numFmtId="172" fontId="5" fillId="0" borderId="20" xfId="326" applyNumberFormat="1" applyFont="1" applyFill="1" applyBorder="1" applyAlignment="1" applyProtection="1">
      <alignment horizontal="left" vertical="center" wrapText="1"/>
      <protection locked="0"/>
    </xf>
    <xf numFmtId="168" fontId="5" fillId="0" borderId="50" xfId="326" applyNumberFormat="1" applyFont="1" applyFill="1" applyBorder="1" applyAlignment="1" applyProtection="1">
      <alignment horizontal="center" vertical="center" wrapText="1"/>
      <protection locked="0"/>
    </xf>
    <xf numFmtId="168" fontId="5" fillId="0" borderId="51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20" xfId="326" applyNumberFormat="1" applyFont="1" applyFill="1" applyBorder="1" applyAlignment="1" applyProtection="1">
      <alignment horizontal="left" vertical="center" wrapText="1" indent="2"/>
      <protection locked="0"/>
    </xf>
    <xf numFmtId="168" fontId="5" fillId="0" borderId="37" xfId="326" applyNumberFormat="1" applyFont="1" applyFill="1" applyBorder="1" applyAlignment="1">
      <alignment horizontal="right" vertical="center" wrapText="1"/>
    </xf>
    <xf numFmtId="168" fontId="5" fillId="0" borderId="49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45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0" xfId="326" applyNumberFormat="1" applyFont="1" applyFill="1" applyBorder="1" applyAlignment="1">
      <alignment horizontal="right" vertical="center" wrapText="1"/>
    </xf>
    <xf numFmtId="168" fontId="5" fillId="0" borderId="52" xfId="326" applyNumberFormat="1" applyFont="1" applyFill="1" applyBorder="1" applyAlignment="1">
      <alignment horizontal="right" vertical="center" wrapText="1"/>
    </xf>
    <xf numFmtId="172" fontId="5" fillId="0" borderId="23" xfId="326" applyNumberFormat="1" applyFont="1" applyFill="1" applyBorder="1" applyAlignment="1" applyProtection="1">
      <alignment horizontal="left" vertical="center" wrapText="1" indent="2"/>
      <protection locked="0"/>
    </xf>
    <xf numFmtId="49" fontId="5" fillId="0" borderId="53" xfId="326" applyNumberFormat="1" applyFont="1" applyFill="1" applyBorder="1" applyAlignment="1" applyProtection="1">
      <alignment horizontal="center" vertical="center" wrapText="1"/>
      <protection locked="0"/>
    </xf>
    <xf numFmtId="168" fontId="5" fillId="0" borderId="53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91" xfId="326" applyNumberFormat="1" applyFont="1" applyFill="1" applyBorder="1" applyAlignment="1">
      <alignment horizontal="right" vertical="center" wrapText="1"/>
    </xf>
    <xf numFmtId="168" fontId="5" fillId="0" borderId="54" xfId="326" applyNumberFormat="1" applyFont="1" applyFill="1" applyBorder="1" applyAlignment="1" applyProtection="1">
      <alignment horizontal="right" vertical="center" wrapText="1"/>
      <protection locked="0"/>
    </xf>
    <xf numFmtId="49" fontId="5" fillId="0" borderId="47" xfId="326" applyNumberFormat="1" applyFont="1" applyFill="1" applyBorder="1" applyAlignment="1" applyProtection="1">
      <alignment horizontal="center" vertical="center" wrapText="1"/>
      <protection locked="0"/>
    </xf>
    <xf numFmtId="168" fontId="5" fillId="0" borderId="45" xfId="326" applyNumberFormat="1" applyFont="1" applyFill="1" applyBorder="1" applyAlignment="1">
      <alignment horizontal="right" vertical="center" wrapText="1"/>
    </xf>
    <xf numFmtId="168" fontId="5" fillId="0" borderId="55" xfId="326" applyNumberFormat="1" applyFont="1" applyFill="1" applyBorder="1" applyAlignment="1" applyProtection="1">
      <alignment horizontal="right" vertical="center" wrapText="1"/>
      <protection locked="0"/>
    </xf>
    <xf numFmtId="168" fontId="5" fillId="0" borderId="37" xfId="326" applyNumberFormat="1" applyFont="1" applyFill="1" applyBorder="1" applyAlignment="1" applyProtection="1">
      <alignment horizontal="center" vertical="center" wrapText="1"/>
      <protection locked="0"/>
    </xf>
    <xf numFmtId="168" fontId="5" fillId="0" borderId="52" xfId="326" applyNumberFormat="1" applyFont="1" applyFill="1" applyBorder="1" applyAlignment="1">
      <alignment horizontal="center" vertical="center" wrapText="1"/>
    </xf>
    <xf numFmtId="172" fontId="55" fillId="0" borderId="56" xfId="326" applyNumberFormat="1" applyFont="1" applyFill="1" applyBorder="1" applyAlignment="1" applyProtection="1">
      <alignment horizontal="left" vertical="center" wrapText="1"/>
      <protection locked="0"/>
    </xf>
    <xf numFmtId="172" fontId="55" fillId="0" borderId="23" xfId="326" applyNumberFormat="1" applyFont="1" applyFill="1" applyBorder="1" applyAlignment="1" applyProtection="1">
      <alignment horizontal="left" vertical="center" wrapText="1"/>
      <protection locked="0"/>
    </xf>
    <xf numFmtId="168" fontId="5" fillId="0" borderId="91" xfId="326" applyNumberFormat="1" applyFont="1" applyFill="1" applyBorder="1" applyAlignment="1" applyProtection="1">
      <alignment horizontal="right" vertical="center" wrapText="1"/>
      <protection locked="0"/>
    </xf>
    <xf numFmtId="167" fontId="5" fillId="0" borderId="0" xfId="326" applyNumberFormat="1" applyFont="1" applyFill="1" applyBorder="1" applyAlignment="1" applyProtection="1">
      <alignment horizontal="center" vertical="center" wrapText="1"/>
      <protection locked="0"/>
    </xf>
    <xf numFmtId="0" fontId="5" fillId="0" borderId="30" xfId="302" applyFont="1" applyBorder="1" applyAlignment="1">
      <alignment horizontal="center" vertical="center" wrapText="1"/>
    </xf>
    <xf numFmtId="0" fontId="5" fillId="0" borderId="24" xfId="302" applyFont="1" applyBorder="1" applyAlignment="1">
      <alignment horizontal="center" vertical="center" wrapText="1"/>
    </xf>
    <xf numFmtId="0" fontId="5" fillId="0" borderId="0" xfId="302" applyFont="1" applyAlignment="1">
      <alignment horizontal="center" vertical="center" wrapText="1"/>
    </xf>
    <xf numFmtId="167" fontId="5" fillId="0" borderId="98" xfId="302" applyNumberFormat="1" applyFont="1" applyBorder="1" applyAlignment="1">
      <alignment horizontal="center" vertical="center" wrapText="1"/>
    </xf>
    <xf numFmtId="49" fontId="149" fillId="0" borderId="98" xfId="302" applyNumberFormat="1" applyFont="1" applyBorder="1" applyAlignment="1">
      <alignment horizontal="center" vertical="center" wrapText="1"/>
    </xf>
    <xf numFmtId="167" fontId="5" fillId="0" borderId="98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27" xfId="326" applyNumberFormat="1" applyFont="1" applyFill="1" applyBorder="1" applyAlignment="1" applyProtection="1">
      <alignment horizontal="left" vertical="center" wrapText="1" indent="2"/>
      <protection locked="0"/>
    </xf>
    <xf numFmtId="168" fontId="5" fillId="0" borderId="39" xfId="326" applyNumberFormat="1" applyFont="1" applyFill="1" applyBorder="1" applyAlignment="1" applyProtection="1">
      <alignment horizontal="right" vertical="center" wrapText="1"/>
      <protection locked="0"/>
    </xf>
    <xf numFmtId="172" fontId="5" fillId="0" borderId="20" xfId="326" applyNumberFormat="1" applyFont="1" applyFill="1" applyBorder="1" applyAlignment="1" applyProtection="1">
      <alignment horizontal="left" vertical="center" wrapText="1" indent="4"/>
      <protection locked="0"/>
    </xf>
    <xf numFmtId="172" fontId="5" fillId="0" borderId="23" xfId="326" applyNumberFormat="1" applyFont="1" applyFill="1" applyBorder="1" applyAlignment="1" applyProtection="1">
      <alignment horizontal="left" vertical="center" wrapText="1"/>
      <protection locked="0"/>
    </xf>
    <xf numFmtId="172" fontId="5" fillId="0" borderId="0" xfId="326" applyNumberFormat="1" applyFont="1" applyFill="1" applyBorder="1" applyAlignment="1" applyProtection="1">
      <alignment horizontal="left" vertical="center" wrapText="1"/>
      <protection locked="0"/>
    </xf>
    <xf numFmtId="49" fontId="5" fillId="0" borderId="0" xfId="326" applyNumberFormat="1" applyFont="1" applyFill="1" applyBorder="1" applyAlignment="1" applyProtection="1">
      <alignment horizontal="center" vertical="center" wrapText="1"/>
      <protection locked="0"/>
    </xf>
    <xf numFmtId="172" fontId="55" fillId="0" borderId="0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17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48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42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20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50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60" xfId="326" applyNumberFormat="1" applyFont="1" applyFill="1" applyBorder="1" applyAlignment="1" applyProtection="1">
      <alignment horizontal="center" vertical="center" wrapText="1"/>
      <protection locked="0"/>
    </xf>
    <xf numFmtId="172" fontId="55" fillId="0" borderId="61" xfId="326" applyNumberFormat="1" applyFont="1" applyFill="1" applyBorder="1" applyAlignment="1" applyProtection="1">
      <alignment horizontal="left" vertical="center" wrapText="1"/>
      <protection locked="0"/>
    </xf>
    <xf numFmtId="172" fontId="5" fillId="0" borderId="30" xfId="326" applyNumberFormat="1" applyFont="1" applyFill="1" applyBorder="1" applyAlignment="1" applyProtection="1">
      <alignment horizontal="center" vertical="center" wrapText="1"/>
      <protection locked="0"/>
    </xf>
    <xf numFmtId="172" fontId="5" fillId="0" borderId="30" xfId="326" applyNumberFormat="1" applyFont="1" applyFill="1" applyBorder="1" applyAlignment="1" applyProtection="1">
      <alignment horizontal="right" vertical="center" wrapText="1"/>
      <protection locked="0"/>
    </xf>
    <xf numFmtId="172" fontId="5" fillId="0" borderId="54" xfId="326" applyNumberFormat="1" applyFont="1" applyFill="1" applyBorder="1" applyAlignment="1" applyProtection="1">
      <alignment horizontal="right" vertical="center" wrapText="1"/>
      <protection locked="0"/>
    </xf>
    <xf numFmtId="167" fontId="55" fillId="0" borderId="0" xfId="302" applyNumberFormat="1" applyFont="1" applyAlignment="1">
      <alignment vertical="center" wrapText="1"/>
    </xf>
    <xf numFmtId="49" fontId="55" fillId="0" borderId="0" xfId="302" applyNumberFormat="1" applyFont="1" applyAlignment="1">
      <alignment horizontal="center" vertical="center" wrapText="1"/>
    </xf>
    <xf numFmtId="167" fontId="55" fillId="0" borderId="0" xfId="302" applyNumberFormat="1" applyFont="1" applyAlignment="1">
      <alignment horizontal="center" vertical="center" wrapText="1"/>
    </xf>
    <xf numFmtId="167" fontId="150" fillId="0" borderId="0" xfId="302" applyNumberFormat="1" applyFont="1" applyAlignment="1">
      <alignment horizontal="left" vertical="center"/>
    </xf>
    <xf numFmtId="49" fontId="150" fillId="0" borderId="0" xfId="302" applyNumberFormat="1" applyFont="1" applyAlignment="1">
      <alignment horizontal="center" vertical="center" wrapText="1"/>
    </xf>
    <xf numFmtId="172" fontId="150" fillId="0" borderId="0" xfId="302" applyNumberFormat="1" applyFont="1" applyAlignment="1">
      <alignment horizontal="center" vertical="center" wrapText="1"/>
    </xf>
    <xf numFmtId="0" fontId="56" fillId="0" borderId="0" xfId="302" applyFont="1" applyAlignment="1">
      <alignment horizontal="left" wrapText="1"/>
    </xf>
    <xf numFmtId="167" fontId="151" fillId="0" borderId="0" xfId="302" applyNumberFormat="1" applyFont="1" applyAlignment="1">
      <alignment vertical="center" wrapText="1"/>
    </xf>
    <xf numFmtId="167" fontId="8" fillId="0" borderId="0" xfId="302" applyNumberFormat="1" applyFont="1" applyAlignment="1">
      <alignment horizontal="left" vertical="center"/>
    </xf>
    <xf numFmtId="172" fontId="152" fillId="0" borderId="25" xfId="326" applyNumberFormat="1" applyFont="1" applyFill="1" applyBorder="1" applyAlignment="1" applyProtection="1">
      <alignment horizontal="left" vertical="center" wrapText="1"/>
      <protection locked="0"/>
    </xf>
    <xf numFmtId="49" fontId="153" fillId="0" borderId="47" xfId="326" applyNumberFormat="1" applyFont="1" applyFill="1" applyBorder="1" applyAlignment="1" applyProtection="1">
      <alignment horizontal="center" vertical="center" wrapText="1"/>
      <protection locked="0"/>
    </xf>
    <xf numFmtId="168" fontId="154" fillId="0" borderId="47" xfId="326" applyNumberFormat="1" applyFont="1" applyFill="1" applyBorder="1" applyAlignment="1" applyProtection="1">
      <alignment horizontal="right" vertical="center" wrapText="1"/>
      <protection locked="0"/>
    </xf>
    <xf numFmtId="168" fontId="154" fillId="0" borderId="55" xfId="326" applyNumberFormat="1" applyFont="1" applyFill="1" applyBorder="1" applyAlignment="1" applyProtection="1">
      <alignment horizontal="right" vertical="center" wrapText="1"/>
      <protection locked="0"/>
    </xf>
    <xf numFmtId="172" fontId="154" fillId="0" borderId="20" xfId="326" applyNumberFormat="1" applyFont="1" applyFill="1" applyBorder="1" applyAlignment="1" applyProtection="1">
      <alignment horizontal="left" vertical="center" wrapText="1" indent="2"/>
      <protection locked="0"/>
    </xf>
    <xf numFmtId="49" fontId="153" fillId="0" borderId="37" xfId="326" applyNumberFormat="1" applyFont="1" applyFill="1" applyBorder="1" applyAlignment="1" applyProtection="1">
      <alignment horizontal="center" vertical="center" wrapText="1"/>
      <protection locked="0"/>
    </xf>
    <xf numFmtId="168" fontId="154" fillId="0" borderId="37" xfId="326" applyNumberFormat="1" applyFont="1" applyFill="1" applyBorder="1" applyAlignment="1" applyProtection="1">
      <alignment horizontal="right" vertical="center" wrapText="1"/>
      <protection locked="0"/>
    </xf>
    <xf numFmtId="168" fontId="154" fillId="0" borderId="51" xfId="326" applyNumberFormat="1" applyFont="1" applyFill="1" applyBorder="1" applyAlignment="1" applyProtection="1">
      <alignment horizontal="right" vertical="center" wrapText="1"/>
      <protection locked="0"/>
    </xf>
    <xf numFmtId="172" fontId="154" fillId="0" borderId="20" xfId="326" applyNumberFormat="1" applyFont="1" applyFill="1" applyBorder="1" applyAlignment="1" applyProtection="1">
      <alignment horizontal="left" vertical="center" wrapText="1" indent="4"/>
      <protection locked="0"/>
    </xf>
    <xf numFmtId="172" fontId="154" fillId="0" borderId="23" xfId="326" applyNumberFormat="1" applyFont="1" applyFill="1" applyBorder="1" applyAlignment="1" applyProtection="1">
      <alignment horizontal="left" vertical="center" wrapText="1"/>
      <protection locked="0"/>
    </xf>
    <xf numFmtId="49" fontId="153" fillId="0" borderId="30" xfId="326" applyNumberFormat="1" applyFont="1" applyFill="1" applyBorder="1" applyAlignment="1" applyProtection="1">
      <alignment horizontal="center" vertical="center" wrapText="1"/>
      <protection locked="0"/>
    </xf>
    <xf numFmtId="168" fontId="154" fillId="0" borderId="30" xfId="326" applyNumberFormat="1" applyFont="1" applyFill="1" applyBorder="1" applyAlignment="1" applyProtection="1">
      <alignment horizontal="right" vertical="center" wrapText="1"/>
      <protection locked="0"/>
    </xf>
    <xf numFmtId="168" fontId="154" fillId="0" borderId="54" xfId="326" applyNumberFormat="1" applyFont="1" applyFill="1" applyBorder="1" applyAlignment="1" applyProtection="1">
      <alignment horizontal="right" vertical="center" wrapText="1"/>
      <protection locked="0"/>
    </xf>
    <xf numFmtId="164" fontId="57" fillId="0" borderId="50" xfId="0" applyNumberFormat="1" applyFont="1" applyBorder="1" applyAlignment="1">
      <alignment horizontal="center" vertical="center" wrapText="1"/>
    </xf>
    <xf numFmtId="164" fontId="57" fillId="0" borderId="53" xfId="0" applyNumberFormat="1" applyFont="1" applyBorder="1" applyAlignment="1">
      <alignment horizontal="center" vertical="center" wrapText="1"/>
    </xf>
    <xf numFmtId="164" fontId="57" fillId="0" borderId="26" xfId="0" applyNumberFormat="1" applyFont="1" applyBorder="1" applyAlignment="1">
      <alignment horizontal="center" vertical="center" wrapText="1"/>
    </xf>
    <xf numFmtId="164" fontId="57" fillId="0" borderId="47" xfId="0" applyNumberFormat="1" applyFont="1" applyBorder="1" applyAlignment="1">
      <alignment horizontal="center" vertical="center" wrapText="1"/>
    </xf>
    <xf numFmtId="0" fontId="87" fillId="0" borderId="0" xfId="0" applyFont="1" applyAlignment="1" applyProtection="1">
      <alignment horizontal="center" vertical="center"/>
      <protection locked="0"/>
    </xf>
    <xf numFmtId="164" fontId="57" fillId="0" borderId="37" xfId="0" applyNumberFormat="1" applyFont="1" applyBorder="1" applyAlignment="1">
      <alignment horizontal="center" vertical="center" wrapText="1"/>
    </xf>
    <xf numFmtId="0" fontId="88" fillId="0" borderId="0" xfId="0" applyFont="1" applyAlignment="1">
      <alignment horizontal="center" vertical="center"/>
    </xf>
    <xf numFmtId="164" fontId="57" fillId="0" borderId="21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89" fillId="0" borderId="0" xfId="0" applyNumberFormat="1" applyFont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 wrapText="1"/>
    </xf>
    <xf numFmtId="0" fontId="86" fillId="0" borderId="0" xfId="0" applyFont="1" applyAlignment="1" applyProtection="1">
      <alignment horizontal="center" vertical="center"/>
      <protection locked="0"/>
    </xf>
    <xf numFmtId="164" fontId="5" fillId="0" borderId="46" xfId="0" applyNumberFormat="1" applyFont="1" applyBorder="1" applyAlignment="1" applyProtection="1">
      <alignment horizontal="center" vertical="center" wrapText="1"/>
      <protection locked="0"/>
    </xf>
    <xf numFmtId="0" fontId="114" fillId="0" borderId="0" xfId="0" applyFont="1" applyAlignment="1" applyProtection="1">
      <alignment horizontal="center" vertical="center"/>
      <protection locked="0"/>
    </xf>
    <xf numFmtId="164" fontId="57" fillId="0" borderId="50" xfId="0" applyNumberFormat="1" applyFont="1" applyBorder="1" applyAlignment="1" applyProtection="1">
      <alignment horizontal="center" vertical="center" wrapText="1"/>
      <protection locked="0"/>
    </xf>
    <xf numFmtId="0" fontId="86" fillId="0" borderId="52" xfId="0" applyFont="1" applyBorder="1" applyAlignment="1" applyProtection="1">
      <alignment horizontal="center" vertical="center"/>
      <protection locked="0"/>
    </xf>
    <xf numFmtId="0" fontId="86" fillId="0" borderId="37" xfId="0" applyFont="1" applyBorder="1" applyAlignment="1" applyProtection="1">
      <alignment horizontal="center" vertical="center"/>
      <protection locked="0"/>
    </xf>
    <xf numFmtId="0" fontId="86" fillId="0" borderId="37" xfId="0" applyFont="1" applyBorder="1" applyAlignment="1">
      <alignment horizontal="center" vertical="center"/>
    </xf>
    <xf numFmtId="164" fontId="57" fillId="0" borderId="37" xfId="0" applyNumberFormat="1" applyFont="1" applyFill="1" applyBorder="1" applyAlignment="1">
      <alignment horizontal="center" vertical="center" wrapText="1"/>
    </xf>
    <xf numFmtId="0" fontId="86" fillId="0" borderId="52" xfId="0" applyFont="1" applyBorder="1" applyAlignment="1">
      <alignment horizontal="center" vertical="center" wrapText="1"/>
    </xf>
    <xf numFmtId="0" fontId="57" fillId="0" borderId="17" xfId="0" applyFont="1" applyBorder="1" applyAlignment="1">
      <alignment vertical="center"/>
    </xf>
    <xf numFmtId="167" fontId="155" fillId="0" borderId="0" xfId="0" applyNumberFormat="1" applyFont="1" applyAlignment="1">
      <alignment horizontal="center" vertical="center" wrapText="1"/>
    </xf>
    <xf numFmtId="167" fontId="155" fillId="41" borderId="0" xfId="0" applyNumberFormat="1" applyFont="1" applyFill="1" applyAlignment="1">
      <alignment horizontal="center" vertical="center" wrapText="1"/>
    </xf>
    <xf numFmtId="0" fontId="156" fillId="0" borderId="52" xfId="0" applyFont="1" applyBorder="1" applyAlignment="1">
      <alignment horizontal="center" vertical="center" wrapText="1"/>
    </xf>
    <xf numFmtId="0" fontId="156" fillId="0" borderId="37" xfId="0" applyFont="1" applyBorder="1" applyAlignment="1">
      <alignment horizontal="center" vertical="center" wrapText="1"/>
    </xf>
    <xf numFmtId="0" fontId="156" fillId="0" borderId="30" xfId="0" applyFont="1" applyBorder="1" applyAlignment="1">
      <alignment horizontal="center" vertical="center" wrapText="1"/>
    </xf>
    <xf numFmtId="0" fontId="156" fillId="0" borderId="48" xfId="0" applyFont="1" applyBorder="1" applyAlignment="1">
      <alignment horizontal="center" vertical="center" wrapText="1"/>
    </xf>
    <xf numFmtId="0" fontId="157" fillId="0" borderId="50" xfId="0" applyFont="1" applyBorder="1" applyAlignment="1" applyProtection="1">
      <alignment horizontal="center" vertical="center" wrapText="1"/>
      <protection locked="0"/>
    </xf>
    <xf numFmtId="0" fontId="157" fillId="0" borderId="37" xfId="0" applyFont="1" applyBorder="1" applyAlignment="1" applyProtection="1">
      <alignment horizontal="center" vertical="center" wrapText="1"/>
      <protection locked="0"/>
    </xf>
    <xf numFmtId="0" fontId="158" fillId="0" borderId="52" xfId="0" applyFont="1" applyBorder="1" applyAlignment="1" applyProtection="1">
      <alignment vertical="center"/>
      <protection locked="0"/>
    </xf>
    <xf numFmtId="0" fontId="158" fillId="0" borderId="37" xfId="0" applyFont="1" applyBorder="1" applyAlignment="1" applyProtection="1">
      <alignment vertical="center"/>
      <protection locked="0"/>
    </xf>
    <xf numFmtId="0" fontId="158" fillId="0" borderId="37" xfId="0" applyFont="1" applyBorder="1" applyAlignment="1">
      <alignment vertical="center"/>
    </xf>
    <xf numFmtId="0" fontId="157" fillId="0" borderId="37" xfId="0" applyFont="1" applyBorder="1" applyAlignment="1">
      <alignment horizontal="center" vertical="center" wrapText="1"/>
    </xf>
    <xf numFmtId="0" fontId="157" fillId="0" borderId="30" xfId="0" applyFont="1" applyBorder="1" applyAlignment="1">
      <alignment horizontal="center" vertical="center" wrapText="1"/>
    </xf>
    <xf numFmtId="0" fontId="157" fillId="41" borderId="50" xfId="0" applyFont="1" applyFill="1" applyBorder="1" applyAlignment="1" applyProtection="1">
      <alignment horizontal="center" vertical="center" wrapText="1"/>
      <protection locked="0"/>
    </xf>
    <xf numFmtId="0" fontId="157" fillId="41" borderId="37" xfId="0" applyFont="1" applyFill="1" applyBorder="1" applyAlignment="1" applyProtection="1">
      <alignment horizontal="center" vertical="center" wrapText="1"/>
      <protection locked="0"/>
    </xf>
    <xf numFmtId="0" fontId="158" fillId="41" borderId="52" xfId="0" applyFont="1" applyFill="1" applyBorder="1" applyAlignment="1" applyProtection="1">
      <alignment vertical="center"/>
      <protection locked="0"/>
    </xf>
    <xf numFmtId="0" fontId="158" fillId="41" borderId="37" xfId="0" applyFont="1" applyFill="1" applyBorder="1" applyAlignment="1" applyProtection="1">
      <alignment vertical="center"/>
      <protection locked="0"/>
    </xf>
    <xf numFmtId="0" fontId="157" fillId="41" borderId="30" xfId="0" applyFont="1" applyFill="1" applyBorder="1" applyAlignment="1" applyProtection="1">
      <alignment horizontal="center" vertical="center" wrapText="1"/>
      <protection locked="0"/>
    </xf>
    <xf numFmtId="0" fontId="156" fillId="41" borderId="47" xfId="0" applyFont="1" applyFill="1" applyBorder="1" applyAlignment="1">
      <alignment horizontal="center" vertical="center" wrapText="1"/>
    </xf>
    <xf numFmtId="0" fontId="156" fillId="41" borderId="37" xfId="0" applyFont="1" applyFill="1" applyBorder="1" applyAlignment="1">
      <alignment horizontal="center" vertical="center" wrapText="1"/>
    </xf>
    <xf numFmtId="0" fontId="156" fillId="41" borderId="30" xfId="0" applyFont="1" applyFill="1" applyBorder="1" applyAlignment="1">
      <alignment horizontal="center" vertical="center" wrapText="1"/>
    </xf>
    <xf numFmtId="164" fontId="155" fillId="41" borderId="48" xfId="0" applyNumberFormat="1" applyFont="1" applyFill="1" applyBorder="1" applyAlignment="1">
      <alignment horizontal="center" vertical="center" wrapText="1"/>
    </xf>
    <xf numFmtId="0" fontId="156" fillId="41" borderId="50" xfId="0" applyFont="1" applyFill="1" applyBorder="1" applyAlignment="1">
      <alignment horizontal="center" vertical="center" wrapText="1"/>
    </xf>
    <xf numFmtId="0" fontId="156" fillId="41" borderId="53" xfId="0" applyFont="1" applyFill="1" applyBorder="1" applyAlignment="1">
      <alignment horizontal="center" vertical="center" wrapText="1"/>
    </xf>
    <xf numFmtId="0" fontId="157" fillId="41" borderId="47" xfId="0" applyFont="1" applyFill="1" applyBorder="1" applyAlignment="1">
      <alignment horizontal="center" vertical="center" wrapText="1"/>
    </xf>
    <xf numFmtId="0" fontId="157" fillId="41" borderId="37" xfId="0" applyFont="1" applyFill="1" applyBorder="1" applyAlignment="1">
      <alignment horizontal="center" vertical="center" wrapText="1"/>
    </xf>
    <xf numFmtId="0" fontId="158" fillId="41" borderId="52" xfId="0" applyFont="1" applyFill="1" applyBorder="1" applyAlignment="1">
      <alignment horizontal="center" vertical="center"/>
    </xf>
    <xf numFmtId="0" fontId="158" fillId="41" borderId="65" xfId="0" applyFont="1" applyFill="1" applyBorder="1" applyAlignment="1">
      <alignment horizontal="center" vertical="center"/>
    </xf>
    <xf numFmtId="0" fontId="157" fillId="41" borderId="30" xfId="0" applyFont="1" applyFill="1" applyBorder="1" applyAlignment="1">
      <alignment horizontal="center" vertical="center" wrapText="1"/>
    </xf>
    <xf numFmtId="0" fontId="157" fillId="41" borderId="58" xfId="0" applyFont="1" applyFill="1" applyBorder="1" applyAlignment="1">
      <alignment horizontal="center" vertical="center"/>
    </xf>
    <xf numFmtId="0" fontId="158" fillId="41" borderId="52" xfId="0" applyFont="1" applyFill="1" applyBorder="1" applyAlignment="1">
      <alignment vertical="center"/>
    </xf>
    <xf numFmtId="0" fontId="157" fillId="41" borderId="37" xfId="0" applyFont="1" applyFill="1" applyBorder="1" applyAlignment="1">
      <alignment horizontal="center" vertical="center"/>
    </xf>
    <xf numFmtId="0" fontId="157" fillId="41" borderId="64" xfId="0" applyFont="1" applyFill="1" applyBorder="1" applyAlignment="1">
      <alignment horizontal="center" vertical="center"/>
    </xf>
    <xf numFmtId="0" fontId="157" fillId="41" borderId="30" xfId="0" applyFont="1" applyFill="1" applyBorder="1" applyAlignment="1">
      <alignment horizontal="center" vertical="center"/>
    </xf>
    <xf numFmtId="0" fontId="160" fillId="0" borderId="0" xfId="0" applyFont="1" applyAlignment="1">
      <alignment vertical="center" wrapText="1"/>
    </xf>
    <xf numFmtId="0" fontId="156" fillId="41" borderId="0" xfId="0" applyFont="1" applyFill="1" applyAlignment="1">
      <alignment horizontal="center" vertical="center" wrapText="1"/>
    </xf>
    <xf numFmtId="0" fontId="156" fillId="41" borderId="0" xfId="0" applyFont="1" applyFill="1" applyAlignment="1">
      <alignment horizontal="center" wrapText="1"/>
    </xf>
    <xf numFmtId="0" fontId="156" fillId="41" borderId="21" xfId="0" applyFont="1" applyFill="1" applyBorder="1" applyAlignment="1">
      <alignment vertical="center" wrapText="1"/>
    </xf>
    <xf numFmtId="3" fontId="156" fillId="41" borderId="79" xfId="0" applyNumberFormat="1" applyFont="1" applyFill="1" applyBorder="1" applyAlignment="1">
      <alignment vertical="center" wrapText="1"/>
    </xf>
    <xf numFmtId="3" fontId="156" fillId="41" borderId="21" xfId="0" applyNumberFormat="1" applyFont="1" applyFill="1" applyBorder="1" applyAlignment="1">
      <alignment vertical="center" wrapText="1"/>
    </xf>
    <xf numFmtId="0" fontId="156" fillId="41" borderId="31" xfId="0" applyFont="1" applyFill="1" applyBorder="1" applyAlignment="1">
      <alignment vertical="center" wrapText="1"/>
    </xf>
    <xf numFmtId="0" fontId="157" fillId="41" borderId="50" xfId="0" applyFont="1" applyFill="1" applyBorder="1" applyAlignment="1">
      <alignment horizontal="center" vertical="center" wrapText="1"/>
    </xf>
    <xf numFmtId="0" fontId="158" fillId="41" borderId="37" xfId="0" applyFont="1" applyFill="1" applyBorder="1" applyAlignment="1">
      <alignment vertical="center"/>
    </xf>
    <xf numFmtId="167" fontId="155" fillId="41" borderId="0" xfId="0" applyNumberFormat="1" applyFont="1" applyFill="1" applyAlignment="1" applyProtection="1">
      <alignment vertical="center" wrapText="1"/>
      <protection locked="0"/>
    </xf>
    <xf numFmtId="0" fontId="156" fillId="0" borderId="26" xfId="0" applyFont="1" applyBorder="1" applyAlignment="1">
      <alignment horizontal="center" vertical="center" wrapText="1"/>
    </xf>
    <xf numFmtId="167" fontId="79" fillId="0" borderId="0" xfId="302" applyNumberFormat="1" applyFont="1" applyAlignment="1">
      <alignment vertical="center" wrapText="1"/>
    </xf>
    <xf numFmtId="167" fontId="155" fillId="0" borderId="49" xfId="0" applyNumberFormat="1" applyFont="1" applyBorder="1" applyAlignment="1">
      <alignment horizontal="center" vertical="center" wrapText="1"/>
    </xf>
    <xf numFmtId="164" fontId="57" fillId="0" borderId="53" xfId="0" applyNumberFormat="1" applyFont="1" applyBorder="1" applyAlignment="1">
      <alignment horizontal="center" vertical="center" wrapText="1"/>
    </xf>
    <xf numFmtId="164" fontId="155" fillId="41" borderId="58" xfId="0" applyNumberFormat="1" applyFont="1" applyFill="1" applyBorder="1" applyAlignment="1">
      <alignment horizontal="center" vertical="center" wrapText="1"/>
    </xf>
    <xf numFmtId="164" fontId="159" fillId="41" borderId="58" xfId="0" applyNumberFormat="1" applyFont="1" applyFill="1" applyBorder="1" applyAlignment="1">
      <alignment horizontal="center" vertical="center" wrapText="1"/>
    </xf>
    <xf numFmtId="164" fontId="57" fillId="0" borderId="37" xfId="0" applyNumberFormat="1" applyFont="1" applyBorder="1" applyAlignment="1">
      <alignment horizontal="center" vertical="center" wrapText="1"/>
    </xf>
    <xf numFmtId="0" fontId="162" fillId="0" borderId="0" xfId="0" applyFont="1" applyAlignment="1">
      <alignment vertical="center"/>
    </xf>
    <xf numFmtId="0" fontId="156" fillId="0" borderId="53" xfId="0" applyFont="1" applyBorder="1" applyAlignment="1">
      <alignment horizontal="center" vertical="center" wrapText="1"/>
    </xf>
    <xf numFmtId="0" fontId="156" fillId="0" borderId="21" xfId="0" applyFont="1" applyBorder="1" applyAlignment="1">
      <alignment horizontal="center" vertical="center" wrapText="1"/>
    </xf>
    <xf numFmtId="0" fontId="156" fillId="0" borderId="53" xfId="0" applyFont="1" applyBorder="1" applyAlignment="1" applyProtection="1">
      <alignment horizontal="center" vertical="center" wrapText="1"/>
      <protection locked="0"/>
    </xf>
    <xf numFmtId="167" fontId="163" fillId="0" borderId="0" xfId="0" applyNumberFormat="1" applyFont="1" applyAlignment="1">
      <alignment horizontal="center" vertical="center" wrapText="1"/>
    </xf>
    <xf numFmtId="164" fontId="57" fillId="0" borderId="27" xfId="0" applyNumberFormat="1" applyFont="1" applyBorder="1" applyAlignment="1">
      <alignment horizontal="left" vertical="center" wrapText="1" indent="1"/>
    </xf>
    <xf numFmtId="0" fontId="86" fillId="0" borderId="49" xfId="0" applyFont="1" applyBorder="1" applyAlignment="1">
      <alignment vertical="center"/>
    </xf>
    <xf numFmtId="167" fontId="155" fillId="41" borderId="90" xfId="0" applyNumberFormat="1" applyFont="1" applyFill="1" applyBorder="1" applyAlignment="1">
      <alignment horizontal="center" vertical="center" wrapText="1"/>
    </xf>
    <xf numFmtId="167" fontId="155" fillId="0" borderId="19" xfId="0" applyNumberFormat="1" applyFont="1" applyBorder="1" applyAlignment="1">
      <alignment horizontal="center" vertical="center" wrapText="1"/>
    </xf>
    <xf numFmtId="167" fontId="155" fillId="41" borderId="90" xfId="0" applyNumberFormat="1" applyFont="1" applyFill="1" applyBorder="1" applyAlignment="1" applyProtection="1">
      <alignment vertical="center" wrapText="1"/>
      <protection locked="0"/>
    </xf>
    <xf numFmtId="164" fontId="5" fillId="0" borderId="49" xfId="0" applyNumberFormat="1" applyFont="1" applyBorder="1" applyAlignment="1" applyProtection="1">
      <alignment horizontal="left" vertical="center" wrapText="1"/>
      <protection locked="0"/>
    </xf>
    <xf numFmtId="164" fontId="5" fillId="0" borderId="49" xfId="0" applyNumberFormat="1" applyFont="1" applyBorder="1" applyAlignment="1" applyProtection="1">
      <alignment horizontal="center" vertical="center" wrapText="1"/>
      <protection locked="0"/>
    </xf>
    <xf numFmtId="164" fontId="5" fillId="0" borderId="49" xfId="0" applyNumberFormat="1" applyFont="1" applyBorder="1" applyAlignment="1">
      <alignment horizontal="left" vertical="center" wrapText="1"/>
    </xf>
    <xf numFmtId="164" fontId="5" fillId="0" borderId="49" xfId="0" applyNumberFormat="1" applyFont="1" applyBorder="1" applyAlignment="1">
      <alignment horizontal="center" vertical="center" wrapText="1"/>
    </xf>
    <xf numFmtId="164" fontId="57" fillId="0" borderId="28" xfId="0" applyNumberFormat="1" applyFont="1" applyBorder="1" applyAlignment="1">
      <alignment horizontal="left" vertical="center" wrapText="1" indent="1"/>
    </xf>
    <xf numFmtId="0" fontId="158" fillId="41" borderId="90" xfId="0" applyFont="1" applyFill="1" applyBorder="1" applyAlignment="1">
      <alignment vertical="center"/>
    </xf>
    <xf numFmtId="0" fontId="158" fillId="41" borderId="49" xfId="0" applyFont="1" applyFill="1" applyBorder="1" applyAlignment="1">
      <alignment vertical="center"/>
    </xf>
    <xf numFmtId="0" fontId="158" fillId="41" borderId="49" xfId="0" applyFont="1" applyFill="1" applyBorder="1" applyAlignment="1">
      <alignment horizontal="center" vertical="center"/>
    </xf>
    <xf numFmtId="0" fontId="158" fillId="41" borderId="19" xfId="0" applyFont="1" applyFill="1" applyBorder="1" applyAlignment="1">
      <alignment horizontal="center" vertical="center"/>
    </xf>
    <xf numFmtId="164" fontId="56" fillId="0" borderId="28" xfId="0" applyNumberFormat="1" applyFont="1" applyBorder="1" applyAlignment="1">
      <alignment horizontal="left" vertical="center" wrapText="1" indent="2"/>
    </xf>
    <xf numFmtId="167" fontId="155" fillId="0" borderId="90" xfId="0" applyNumberFormat="1" applyFont="1" applyBorder="1" applyAlignment="1">
      <alignment vertical="center" wrapText="1"/>
    </xf>
    <xf numFmtId="164" fontId="161" fillId="41" borderId="49" xfId="0" applyNumberFormat="1" applyFont="1" applyFill="1" applyBorder="1" applyAlignment="1">
      <alignment horizontal="center" vertical="center" wrapText="1"/>
    </xf>
    <xf numFmtId="49" fontId="161" fillId="41" borderId="49" xfId="0" applyNumberFormat="1" applyFont="1" applyFill="1" applyBorder="1" applyAlignment="1">
      <alignment horizontal="center" vertical="center" wrapText="1"/>
    </xf>
    <xf numFmtId="167" fontId="155" fillId="41" borderId="19" xfId="0" applyNumberFormat="1" applyFont="1" applyFill="1" applyBorder="1" applyAlignment="1">
      <alignment horizontal="center" vertical="center" wrapText="1"/>
    </xf>
    <xf numFmtId="0" fontId="156" fillId="41" borderId="34" xfId="0" applyFont="1" applyFill="1" applyBorder="1" applyAlignment="1">
      <alignment vertical="center" wrapText="1"/>
    </xf>
    <xf numFmtId="167" fontId="8" fillId="0" borderId="49" xfId="0" applyNumberFormat="1" applyFont="1" applyBorder="1" applyAlignment="1">
      <alignment vertical="center" wrapText="1"/>
    </xf>
    <xf numFmtId="167" fontId="8" fillId="0" borderId="49" xfId="0" applyNumberFormat="1" applyFont="1" applyBorder="1" applyAlignment="1">
      <alignment horizontal="center" vertical="center" wrapText="1"/>
    </xf>
    <xf numFmtId="164" fontId="161" fillId="41" borderId="19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left" vertical="center" wrapText="1"/>
    </xf>
    <xf numFmtId="167" fontId="155" fillId="41" borderId="18" xfId="0" applyNumberFormat="1" applyFont="1" applyFill="1" applyBorder="1" applyAlignment="1">
      <alignment horizontal="center" vertical="center" wrapText="1"/>
    </xf>
    <xf numFmtId="168" fontId="57" fillId="0" borderId="47" xfId="0" applyNumberFormat="1" applyFont="1" applyBorder="1" applyAlignment="1">
      <alignment vertical="center" wrapText="1"/>
    </xf>
    <xf numFmtId="168" fontId="57" fillId="0" borderId="53" xfId="0" applyNumberFormat="1" applyFont="1" applyBorder="1" applyAlignment="1">
      <alignment vertical="center" wrapText="1"/>
    </xf>
    <xf numFmtId="167" fontId="155" fillId="0" borderId="18" xfId="0" applyNumberFormat="1" applyFont="1" applyBorder="1" applyAlignment="1">
      <alignment horizontal="center" vertical="center" wrapText="1"/>
    </xf>
    <xf numFmtId="167" fontId="155" fillId="41" borderId="0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Border="1" applyAlignment="1">
      <alignment vertical="center" wrapText="1"/>
    </xf>
    <xf numFmtId="167" fontId="155" fillId="0" borderId="0" xfId="0" applyNumberFormat="1" applyFont="1" applyBorder="1" applyAlignment="1">
      <alignment horizontal="center" vertical="center" wrapText="1"/>
    </xf>
    <xf numFmtId="167" fontId="155" fillId="0" borderId="34" xfId="0" applyNumberFormat="1" applyFont="1" applyBorder="1" applyAlignment="1">
      <alignment horizontal="center" vertical="center" wrapText="1"/>
    </xf>
    <xf numFmtId="164" fontId="57" fillId="0" borderId="53" xfId="0" applyNumberFormat="1" applyFont="1" applyBorder="1" applyAlignment="1">
      <alignment horizontal="center" vertical="center" wrapText="1"/>
    </xf>
    <xf numFmtId="164" fontId="57" fillId="0" borderId="37" xfId="0" applyNumberFormat="1" applyFont="1" applyBorder="1" applyAlignment="1">
      <alignment horizontal="center"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172" fontId="117" fillId="0" borderId="37" xfId="326" applyNumberFormat="1" applyFont="1" applyFill="1" applyBorder="1" applyAlignment="1" applyProtection="1">
      <alignment horizontal="left" vertical="top" wrapText="1"/>
      <protection locked="0"/>
    </xf>
    <xf numFmtId="164" fontId="57" fillId="0" borderId="37" xfId="0" applyNumberFormat="1" applyFont="1" applyBorder="1" applyAlignment="1" applyProtection="1">
      <alignment horizontal="center" vertical="center" wrapText="1"/>
      <protection locked="0"/>
    </xf>
    <xf numFmtId="0" fontId="148" fillId="0" borderId="0" xfId="0" applyFont="1" applyAlignment="1">
      <alignment vertical="center"/>
    </xf>
    <xf numFmtId="0" fontId="164" fillId="0" borderId="0" xfId="0" applyFont="1" applyAlignment="1">
      <alignment horizontal="center"/>
    </xf>
    <xf numFmtId="0" fontId="164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wrapText="1"/>
    </xf>
    <xf numFmtId="0" fontId="148" fillId="0" borderId="0" xfId="0" applyFont="1" applyAlignment="1">
      <alignment vertical="center" wrapText="1"/>
    </xf>
    <xf numFmtId="164" fontId="165" fillId="0" borderId="0" xfId="0" applyNumberFormat="1" applyFont="1" applyAlignment="1">
      <alignment horizontal="left" vertical="center" wrapText="1"/>
    </xf>
    <xf numFmtId="164" fontId="166" fillId="0" borderId="0" xfId="0" applyNumberFormat="1" applyFont="1" applyAlignment="1">
      <alignment horizontal="left" vertical="center" wrapText="1"/>
    </xf>
    <xf numFmtId="167" fontId="155" fillId="41" borderId="73" xfId="0" applyNumberFormat="1" applyFont="1" applyFill="1" applyBorder="1" applyAlignment="1">
      <alignment horizontal="center" vertical="center" wrapText="1"/>
    </xf>
    <xf numFmtId="0" fontId="86" fillId="0" borderId="40" xfId="0" applyFont="1" applyBorder="1" applyAlignment="1">
      <alignment vertical="center"/>
    </xf>
    <xf numFmtId="167" fontId="155" fillId="0" borderId="40" xfId="0" applyNumberFormat="1" applyFont="1" applyBorder="1" applyAlignment="1">
      <alignment horizontal="center" vertical="center" wrapText="1"/>
    </xf>
    <xf numFmtId="167" fontId="155" fillId="0" borderId="29" xfId="0" applyNumberFormat="1" applyFont="1" applyBorder="1" applyAlignment="1">
      <alignment horizontal="center" vertical="center" wrapText="1"/>
    </xf>
    <xf numFmtId="0" fontId="148" fillId="0" borderId="0" xfId="0" applyFont="1"/>
    <xf numFmtId="167" fontId="167" fillId="0" borderId="0" xfId="0" applyNumberFormat="1" applyFont="1" applyAlignment="1">
      <alignment vertical="center" wrapText="1"/>
    </xf>
    <xf numFmtId="0" fontId="148" fillId="0" borderId="0" xfId="0" applyFont="1" applyAlignment="1">
      <alignment vertical="top"/>
    </xf>
    <xf numFmtId="0" fontId="68" fillId="0" borderId="43" xfId="0" applyNumberFormat="1" applyFont="1" applyBorder="1" applyAlignment="1">
      <alignment horizontal="left"/>
    </xf>
    <xf numFmtId="0" fontId="60" fillId="0" borderId="0" xfId="0" applyFont="1" applyFill="1" applyAlignment="1">
      <alignment horizontal="left" vertical="center"/>
    </xf>
    <xf numFmtId="49" fontId="67" fillId="0" borderId="0" xfId="0" applyNumberFormat="1" applyFont="1" applyFill="1"/>
    <xf numFmtId="0" fontId="56" fillId="0" borderId="0" xfId="0" applyFont="1" applyFill="1"/>
    <xf numFmtId="49" fontId="5" fillId="0" borderId="90" xfId="302" applyNumberFormat="1" applyFont="1" applyBorder="1" applyAlignment="1" applyProtection="1">
      <alignment horizontal="center" vertical="center" wrapText="1"/>
      <protection locked="0"/>
    </xf>
    <xf numFmtId="164" fontId="5" fillId="0" borderId="48" xfId="329" applyNumberFormat="1" applyFont="1" applyBorder="1" applyAlignment="1">
      <alignment horizontal="center" vertical="center" wrapText="1"/>
    </xf>
    <xf numFmtId="167" fontId="8" fillId="0" borderId="0" xfId="302" applyNumberFormat="1" applyFont="1" applyBorder="1" applyAlignment="1" applyProtection="1">
      <alignment vertical="center" wrapText="1"/>
      <protection locked="0"/>
    </xf>
    <xf numFmtId="164" fontId="57" fillId="0" borderId="18" xfId="0" applyNumberFormat="1" applyFont="1" applyBorder="1" applyAlignment="1">
      <alignment vertical="center" wrapText="1"/>
    </xf>
    <xf numFmtId="164" fontId="57" fillId="0" borderId="40" xfId="0" applyNumberFormat="1" applyFont="1" applyBorder="1" applyAlignment="1">
      <alignment horizontal="left" vertical="top"/>
    </xf>
    <xf numFmtId="0" fontId="117" fillId="0" borderId="37" xfId="326" applyNumberFormat="1" applyFont="1" applyFill="1" applyBorder="1" applyAlignment="1" applyProtection="1">
      <alignment horizontal="center" vertical="center" wrapText="1"/>
      <protection locked="0"/>
    </xf>
    <xf numFmtId="0" fontId="5" fillId="0" borderId="37" xfId="326" applyNumberFormat="1" applyFont="1" applyFill="1" applyBorder="1" applyAlignment="1" applyProtection="1">
      <alignment horizontal="center" wrapText="1"/>
      <protection locked="0"/>
    </xf>
    <xf numFmtId="0" fontId="56" fillId="0" borderId="0" xfId="0" applyFont="1" applyFill="1" applyAlignment="1">
      <alignment vertical="center"/>
    </xf>
    <xf numFmtId="0" fontId="170" fillId="0" borderId="0" xfId="0" applyFont="1"/>
    <xf numFmtId="168" fontId="5" fillId="0" borderId="30" xfId="326" applyNumberFormat="1" applyFont="1" applyFill="1" applyBorder="1" applyAlignment="1" applyProtection="1">
      <alignment horizontal="right" wrapText="1"/>
      <protection locked="0"/>
    </xf>
    <xf numFmtId="49" fontId="0" fillId="46" borderId="74" xfId="0" applyNumberFormat="1" applyFill="1" applyBorder="1" applyAlignment="1">
      <alignment vertical="center" wrapText="1"/>
    </xf>
    <xf numFmtId="0" fontId="104" fillId="46" borderId="0" xfId="333" applyFont="1" applyFill="1"/>
    <xf numFmtId="0" fontId="140" fillId="0" borderId="43" xfId="0" applyNumberFormat="1" applyFont="1" applyBorder="1" applyAlignment="1">
      <alignment horizontal="left" vertical="center"/>
    </xf>
    <xf numFmtId="164" fontId="5" fillId="0" borderId="36" xfId="302" applyNumberFormat="1" applyFont="1" applyBorder="1" applyAlignment="1" applyProtection="1">
      <alignment horizontal="right" vertical="center" wrapText="1"/>
      <protection locked="0"/>
    </xf>
    <xf numFmtId="164" fontId="5" fillId="0" borderId="0" xfId="302" applyNumberFormat="1" applyFont="1" applyBorder="1" applyAlignment="1" applyProtection="1">
      <alignment horizontal="right" vertical="center" wrapText="1"/>
      <protection locked="0"/>
    </xf>
    <xf numFmtId="167" fontId="5" fillId="0" borderId="36" xfId="302" applyNumberFormat="1" applyFont="1" applyBorder="1" applyAlignment="1" applyProtection="1">
      <alignment horizontal="right" vertical="center" wrapText="1"/>
      <protection locked="0"/>
    </xf>
    <xf numFmtId="0" fontId="5" fillId="0" borderId="42" xfId="301" applyFont="1" applyBorder="1" applyAlignment="1" applyProtection="1">
      <alignment horizontal="center" vertical="center" wrapText="1"/>
      <protection locked="0"/>
    </xf>
    <xf numFmtId="0" fontId="5" fillId="0" borderId="42" xfId="302" applyFont="1" applyBorder="1" applyAlignment="1" applyProtection="1">
      <alignment horizontal="center" vertical="center" wrapText="1"/>
      <protection locked="0"/>
    </xf>
    <xf numFmtId="0" fontId="57" fillId="0" borderId="37" xfId="0" applyFont="1" applyBorder="1" applyAlignment="1">
      <alignment horizontal="center" vertical="center" wrapText="1"/>
    </xf>
    <xf numFmtId="168" fontId="57" fillId="0" borderId="37" xfId="0" applyNumberFormat="1" applyFont="1" applyBorder="1" applyAlignment="1">
      <alignment horizontal="right" vertical="center" wrapText="1"/>
    </xf>
    <xf numFmtId="164" fontId="57" fillId="0" borderId="0" xfId="0" applyNumberFormat="1" applyFont="1" applyBorder="1" applyAlignment="1">
      <alignment vertical="center" wrapText="1"/>
    </xf>
    <xf numFmtId="0" fontId="86" fillId="0" borderId="80" xfId="0" applyFont="1" applyBorder="1" applyAlignment="1">
      <alignment vertical="center"/>
    </xf>
    <xf numFmtId="164" fontId="57" fillId="0" borderId="91" xfId="0" applyNumberFormat="1" applyFont="1" applyFill="1" applyBorder="1" applyAlignment="1" applyProtection="1">
      <alignment horizontal="center" vertical="center" wrapText="1"/>
      <protection locked="0"/>
    </xf>
    <xf numFmtId="168" fontId="57" fillId="0" borderId="40" xfId="0" applyNumberFormat="1" applyFont="1" applyFill="1" applyBorder="1" applyAlignment="1">
      <alignment vertical="center" wrapText="1"/>
    </xf>
    <xf numFmtId="0" fontId="86" fillId="0" borderId="70" xfId="0" applyFont="1" applyBorder="1" applyAlignment="1">
      <alignment vertical="top"/>
    </xf>
    <xf numFmtId="164" fontId="89" fillId="0" borderId="80" xfId="0" applyNumberFormat="1" applyFont="1" applyBorder="1" applyAlignment="1">
      <alignment horizontal="left" vertical="center" wrapText="1"/>
    </xf>
    <xf numFmtId="164" fontId="5" fillId="0" borderId="80" xfId="0" applyNumberFormat="1" applyFont="1" applyBorder="1" applyAlignment="1">
      <alignment horizontal="center" vertical="center" wrapText="1"/>
    </xf>
    <xf numFmtId="164" fontId="5" fillId="0" borderId="80" xfId="0" applyNumberFormat="1" applyFont="1" applyBorder="1" applyAlignment="1">
      <alignment horizontal="left" vertical="center" wrapText="1"/>
    </xf>
    <xf numFmtId="0" fontId="86" fillId="0" borderId="80" xfId="0" applyFont="1" applyBorder="1" applyAlignment="1">
      <alignment horizontal="center" vertical="center"/>
    </xf>
    <xf numFmtId="168" fontId="57" fillId="0" borderId="62" xfId="0" applyNumberFormat="1" applyFont="1" applyFill="1" applyBorder="1" applyAlignment="1">
      <alignment vertical="center" wrapText="1"/>
    </xf>
    <xf numFmtId="168" fontId="57" fillId="0" borderId="65" xfId="0" applyNumberFormat="1" applyFont="1" applyBorder="1" applyAlignment="1">
      <alignment vertical="center" wrapText="1"/>
    </xf>
    <xf numFmtId="168" fontId="57" fillId="0" borderId="69" xfId="0" applyNumberFormat="1" applyFont="1" applyBorder="1" applyAlignment="1">
      <alignment vertical="center" wrapText="1"/>
    </xf>
    <xf numFmtId="167" fontId="8" fillId="0" borderId="70" xfId="0" applyNumberFormat="1" applyFont="1" applyBorder="1" applyAlignment="1">
      <alignment vertical="center" wrapText="1"/>
    </xf>
    <xf numFmtId="164" fontId="57" fillId="0" borderId="40" xfId="0" applyNumberFormat="1" applyFont="1" applyBorder="1" applyAlignment="1">
      <alignment horizontal="left"/>
    </xf>
    <xf numFmtId="43" fontId="5" fillId="0" borderId="21" xfId="346" applyNumberFormat="1" applyFont="1" applyBorder="1" applyAlignment="1">
      <alignment horizontal="right" vertical="center" wrapText="1"/>
    </xf>
    <xf numFmtId="43" fontId="5" fillId="0" borderId="22" xfId="346" applyNumberFormat="1" applyFont="1" applyBorder="1" applyAlignment="1">
      <alignment horizontal="right" vertical="center" wrapText="1"/>
    </xf>
    <xf numFmtId="43" fontId="5" fillId="0" borderId="24" xfId="346" applyNumberFormat="1" applyFont="1" applyBorder="1" applyAlignment="1">
      <alignment horizontal="right" vertical="center" wrapText="1"/>
    </xf>
    <xf numFmtId="43" fontId="5" fillId="0" borderId="29" xfId="346" applyNumberFormat="1" applyFont="1" applyBorder="1" applyAlignment="1">
      <alignment horizontal="right" vertical="center" wrapText="1"/>
    </xf>
    <xf numFmtId="167" fontId="8" fillId="0" borderId="0" xfId="302" applyNumberFormat="1" applyFont="1" applyBorder="1" applyAlignment="1" applyProtection="1">
      <alignment vertical="top" wrapText="1"/>
      <protection locked="0"/>
    </xf>
    <xf numFmtId="167" fontId="155" fillId="0" borderId="36" xfId="0" applyNumberFormat="1" applyFont="1" applyBorder="1" applyAlignment="1">
      <alignment horizontal="center" vertical="center" wrapText="1"/>
    </xf>
    <xf numFmtId="167" fontId="55" fillId="0" borderId="0" xfId="302" applyNumberFormat="1" applyFont="1" applyBorder="1" applyAlignment="1" applyProtection="1">
      <alignment vertical="center" wrapText="1"/>
      <protection locked="0"/>
    </xf>
    <xf numFmtId="167" fontId="5" fillId="0" borderId="0" xfId="302" applyNumberFormat="1" applyFont="1" applyBorder="1" applyAlignment="1" applyProtection="1">
      <alignment horizontal="center" vertical="center" wrapText="1"/>
      <protection locked="0"/>
    </xf>
    <xf numFmtId="164" fontId="5" fillId="0" borderId="0" xfId="302" applyNumberFormat="1" applyFont="1" applyBorder="1" applyAlignment="1" applyProtection="1">
      <alignment vertical="center" wrapText="1"/>
      <protection locked="0"/>
    </xf>
    <xf numFmtId="164" fontId="8" fillId="0" borderId="36" xfId="302" applyNumberFormat="1" applyFont="1" applyBorder="1" applyAlignment="1" applyProtection="1">
      <alignment vertical="center" wrapText="1"/>
      <protection locked="0"/>
    </xf>
    <xf numFmtId="164" fontId="5" fillId="0" borderId="29" xfId="302" applyNumberFormat="1" applyFont="1" applyBorder="1" applyAlignment="1" applyProtection="1">
      <alignment vertical="center" wrapText="1"/>
      <protection locked="0"/>
    </xf>
    <xf numFmtId="167" fontId="5" fillId="0" borderId="0" xfId="302" applyNumberFormat="1" applyFont="1" applyBorder="1" applyAlignment="1" applyProtection="1">
      <alignment vertical="center" wrapText="1"/>
      <protection locked="0"/>
    </xf>
    <xf numFmtId="49" fontId="5" fillId="0" borderId="0" xfId="302" applyNumberFormat="1" applyFont="1" applyBorder="1" applyAlignment="1" applyProtection="1">
      <alignment horizontal="center" vertical="center" wrapText="1"/>
      <protection locked="0"/>
    </xf>
    <xf numFmtId="49" fontId="55" fillId="0" borderId="0" xfId="302" applyNumberFormat="1" applyFont="1" applyBorder="1" applyAlignment="1" applyProtection="1">
      <alignment horizontal="left" vertical="center" wrapText="1"/>
      <protection locked="0"/>
    </xf>
    <xf numFmtId="168" fontId="5" fillId="0" borderId="0" xfId="302" applyNumberFormat="1" applyFont="1" applyBorder="1" applyAlignment="1" applyProtection="1">
      <alignment horizontal="right" vertical="center" wrapText="1"/>
      <protection locked="0"/>
    </xf>
    <xf numFmtId="168" fontId="5" fillId="0" borderId="36" xfId="302" applyNumberFormat="1" applyFont="1" applyBorder="1" applyAlignment="1" applyProtection="1">
      <alignment horizontal="right" vertical="center" wrapText="1"/>
      <protection locked="0"/>
    </xf>
    <xf numFmtId="167" fontId="8" fillId="0" borderId="70" xfId="302" applyNumberFormat="1" applyFont="1" applyBorder="1" applyAlignment="1" applyProtection="1">
      <alignment vertical="top" wrapText="1"/>
      <protection locked="0"/>
    </xf>
    <xf numFmtId="0" fontId="51" fillId="0" borderId="70" xfId="303" applyFont="1" applyBorder="1" applyAlignment="1" applyProtection="1">
      <alignment vertical="center" wrapText="1"/>
      <protection locked="0"/>
    </xf>
    <xf numFmtId="49" fontId="5" fillId="0" borderId="70" xfId="302" applyNumberFormat="1" applyFont="1" applyBorder="1" applyAlignment="1" applyProtection="1">
      <alignment horizontal="center" vertical="center" wrapText="1"/>
      <protection locked="0"/>
    </xf>
    <xf numFmtId="0" fontId="60" fillId="0" borderId="0" xfId="0" applyFont="1" applyAlignment="1">
      <alignment horizontal="left" vertical="center" wrapText="1"/>
    </xf>
    <xf numFmtId="0" fontId="74" fillId="0" borderId="0" xfId="0" applyFont="1" applyFill="1" applyAlignment="1">
      <alignment horizontal="left" vertical="center" wrapText="1"/>
    </xf>
    <xf numFmtId="0" fontId="56" fillId="0" borderId="0" xfId="0" applyFont="1" applyFill="1" applyAlignment="1">
      <alignment horizontal="left" vertical="top" wrapText="1"/>
    </xf>
    <xf numFmtId="0" fontId="129" fillId="41" borderId="0" xfId="0" applyFont="1" applyFill="1" applyAlignment="1">
      <alignment horizontal="center"/>
    </xf>
    <xf numFmtId="0" fontId="86" fillId="41" borderId="40" xfId="0" applyNumberFormat="1" applyFont="1" applyFill="1" applyBorder="1" applyAlignment="1">
      <alignment horizontal="left" wrapText="1"/>
    </xf>
    <xf numFmtId="0" fontId="86" fillId="41" borderId="0" xfId="0" applyFont="1" applyFill="1" applyBorder="1" applyAlignment="1">
      <alignment horizontal="left"/>
    </xf>
    <xf numFmtId="0" fontId="86" fillId="41" borderId="0" xfId="0" applyFont="1" applyFill="1"/>
    <xf numFmtId="0" fontId="86" fillId="41" borderId="40" xfId="0" applyNumberFormat="1" applyFont="1" applyFill="1" applyBorder="1" applyAlignment="1">
      <alignment horizontal="left"/>
    </xf>
    <xf numFmtId="0" fontId="86" fillId="41" borderId="81" xfId="0" applyNumberFormat="1" applyFont="1" applyFill="1" applyBorder="1" applyAlignment="1">
      <alignment horizontal="center"/>
    </xf>
    <xf numFmtId="0" fontId="86" fillId="41" borderId="82" xfId="0" applyNumberFormat="1" applyFont="1" applyFill="1" applyBorder="1" applyAlignment="1">
      <alignment horizontal="center"/>
    </xf>
    <xf numFmtId="0" fontId="86" fillId="41" borderId="0" xfId="0" applyFont="1" applyFill="1" applyAlignment="1">
      <alignment horizontal="left"/>
    </xf>
    <xf numFmtId="0" fontId="86" fillId="41" borderId="84" xfId="0" applyNumberFormat="1" applyFont="1" applyFill="1" applyBorder="1" applyAlignment="1">
      <alignment horizontal="center"/>
    </xf>
    <xf numFmtId="0" fontId="86" fillId="41" borderId="85" xfId="0" applyNumberFormat="1" applyFont="1" applyFill="1" applyBorder="1" applyAlignment="1">
      <alignment horizontal="center"/>
    </xf>
    <xf numFmtId="0" fontId="86" fillId="41" borderId="86" xfId="0" applyNumberFormat="1" applyFont="1" applyFill="1" applyBorder="1" applyAlignment="1">
      <alignment horizontal="center"/>
    </xf>
    <xf numFmtId="0" fontId="86" fillId="41" borderId="87" xfId="0" applyNumberFormat="1" applyFont="1" applyFill="1" applyBorder="1" applyAlignment="1">
      <alignment horizontal="center"/>
    </xf>
    <xf numFmtId="0" fontId="86" fillId="41" borderId="88" xfId="0" applyNumberFormat="1" applyFont="1" applyFill="1" applyBorder="1" applyAlignment="1">
      <alignment horizontal="center"/>
    </xf>
    <xf numFmtId="0" fontId="86" fillId="41" borderId="89" xfId="0" applyNumberFormat="1" applyFont="1" applyFill="1" applyBorder="1" applyAlignment="1">
      <alignment horizontal="center"/>
    </xf>
    <xf numFmtId="0" fontId="86" fillId="41" borderId="40" xfId="0" applyNumberFormat="1" applyFont="1" applyFill="1" applyBorder="1" applyAlignment="1">
      <alignment horizontal="left" vertical="top" wrapText="1"/>
    </xf>
    <xf numFmtId="0" fontId="86" fillId="41" borderId="0" xfId="0" applyFont="1" applyFill="1" applyAlignment="1">
      <alignment horizontal="left" vertical="center"/>
    </xf>
    <xf numFmtId="0" fontId="86" fillId="41" borderId="36" xfId="0" applyFont="1" applyFill="1" applyBorder="1" applyAlignment="1">
      <alignment horizontal="left" vertical="center"/>
    </xf>
    <xf numFmtId="0" fontId="86" fillId="41" borderId="80" xfId="0" applyFont="1" applyFill="1" applyBorder="1" applyAlignment="1">
      <alignment horizontal="left"/>
    </xf>
    <xf numFmtId="0" fontId="86" fillId="41" borderId="0" xfId="0" applyFont="1" applyFill="1" applyAlignment="1">
      <alignment horizontal="left" vertical="center" wrapText="1"/>
    </xf>
    <xf numFmtId="0" fontId="86" fillId="41" borderId="83" xfId="0" applyNumberFormat="1" applyFont="1" applyFill="1" applyBorder="1" applyAlignment="1">
      <alignment horizontal="center" vertical="center"/>
    </xf>
    <xf numFmtId="0" fontId="86" fillId="41" borderId="0" xfId="0" applyFont="1" applyFill="1" applyAlignment="1">
      <alignment vertical="center"/>
    </xf>
    <xf numFmtId="0" fontId="86" fillId="41" borderId="43" xfId="0" applyFont="1" applyFill="1" applyBorder="1" applyAlignment="1">
      <alignment horizontal="center" vertical="center"/>
    </xf>
    <xf numFmtId="0" fontId="86" fillId="41" borderId="0" xfId="0" applyFont="1" applyFill="1" applyBorder="1" applyAlignment="1">
      <alignment horizontal="left" vertical="center"/>
    </xf>
    <xf numFmtId="0" fontId="86" fillId="41" borderId="73" xfId="0" applyNumberFormat="1" applyFont="1" applyFill="1" applyBorder="1" applyAlignment="1">
      <alignment horizontal="center"/>
    </xf>
    <xf numFmtId="0" fontId="86" fillId="41" borderId="40" xfId="0" applyNumberFormat="1" applyFont="1" applyFill="1" applyBorder="1" applyAlignment="1">
      <alignment horizontal="center"/>
    </xf>
    <xf numFmtId="0" fontId="86" fillId="41" borderId="29" xfId="0" applyNumberFormat="1" applyFont="1" applyFill="1" applyBorder="1" applyAlignment="1">
      <alignment horizontal="center"/>
    </xf>
    <xf numFmtId="0" fontId="86" fillId="41" borderId="0" xfId="0" applyFont="1" applyFill="1" applyAlignment="1">
      <alignment horizontal="left" wrapText="1"/>
    </xf>
    <xf numFmtId="0" fontId="86" fillId="41" borderId="0" xfId="0" applyNumberFormat="1" applyFont="1" applyFill="1" applyBorder="1" applyAlignment="1">
      <alignment horizontal="left" vertical="top" wrapText="1"/>
    </xf>
    <xf numFmtId="0" fontId="86" fillId="41" borderId="81" xfId="0" applyNumberFormat="1" applyFont="1" applyFill="1" applyBorder="1" applyAlignment="1">
      <alignment horizontal="center" vertical="center"/>
    </xf>
    <xf numFmtId="167" fontId="79" fillId="0" borderId="0" xfId="302" applyNumberFormat="1" applyFont="1" applyAlignment="1">
      <alignment horizontal="center" vertical="center" wrapText="1"/>
    </xf>
    <xf numFmtId="164" fontId="5" fillId="0" borderId="40" xfId="302" applyNumberFormat="1" applyFont="1" applyBorder="1" applyAlignment="1" applyProtection="1">
      <alignment horizontal="right" vertical="center" wrapText="1"/>
      <protection locked="0"/>
    </xf>
    <xf numFmtId="164" fontId="5" fillId="0" borderId="29" xfId="302" applyNumberFormat="1" applyFont="1" applyBorder="1" applyAlignment="1" applyProtection="1">
      <alignment horizontal="right" vertical="center" wrapText="1"/>
      <protection locked="0"/>
    </xf>
    <xf numFmtId="167" fontId="54" fillId="0" borderId="0" xfId="302" applyNumberFormat="1" applyFont="1" applyAlignment="1" applyProtection="1">
      <alignment horizontal="center" vertical="center" wrapText="1"/>
      <protection locked="0"/>
    </xf>
    <xf numFmtId="167" fontId="54" fillId="0" borderId="0" xfId="301" applyNumberFormat="1" applyFont="1" applyAlignment="1" applyProtection="1">
      <alignment horizontal="center" vertical="center" wrapText="1"/>
      <protection locked="0"/>
    </xf>
    <xf numFmtId="167" fontId="54" fillId="0" borderId="36" xfId="301" applyNumberFormat="1" applyFont="1" applyBorder="1" applyAlignment="1" applyProtection="1">
      <alignment horizontal="center" vertical="center" wrapText="1"/>
      <protection locked="0"/>
    </xf>
    <xf numFmtId="164" fontId="5" fillId="0" borderId="0" xfId="302" applyNumberFormat="1" applyFont="1" applyAlignment="1" applyProtection="1">
      <alignment horizontal="right" vertical="center" wrapText="1"/>
      <protection locked="0"/>
    </xf>
    <xf numFmtId="164" fontId="5" fillId="0" borderId="36" xfId="302" applyNumberFormat="1" applyFont="1" applyBorder="1" applyAlignment="1" applyProtection="1">
      <alignment horizontal="right" vertical="center" wrapText="1"/>
      <protection locked="0"/>
    </xf>
    <xf numFmtId="167" fontId="118" fillId="0" borderId="80" xfId="302" applyNumberFormat="1" applyFont="1" applyBorder="1" applyAlignment="1" applyProtection="1">
      <alignment horizontal="center" vertical="center"/>
      <protection locked="0"/>
    </xf>
    <xf numFmtId="167" fontId="116" fillId="0" borderId="40" xfId="302" applyNumberFormat="1" applyFont="1" applyBorder="1" applyAlignment="1" applyProtection="1">
      <alignment horizontal="left" vertical="center" wrapText="1"/>
      <protection locked="0"/>
    </xf>
    <xf numFmtId="167" fontId="5" fillId="0" borderId="0" xfId="302" applyNumberFormat="1" applyFont="1" applyBorder="1" applyAlignment="1" applyProtection="1">
      <alignment horizontal="left" vertical="center" wrapText="1"/>
      <protection locked="0"/>
    </xf>
    <xf numFmtId="49" fontId="55" fillId="0" borderId="28" xfId="302" applyNumberFormat="1" applyFont="1" applyBorder="1" applyAlignment="1" applyProtection="1">
      <alignment horizontal="left" vertical="center" wrapText="1" indent="15"/>
      <protection locked="0"/>
    </xf>
    <xf numFmtId="49" fontId="55" fillId="0" borderId="52" xfId="302" applyNumberFormat="1" applyFont="1" applyBorder="1" applyAlignment="1" applyProtection="1">
      <alignment horizontal="left" vertical="center" wrapText="1" indent="15"/>
      <protection locked="0"/>
    </xf>
    <xf numFmtId="49" fontId="55" fillId="0" borderId="39" xfId="302" applyNumberFormat="1" applyFont="1" applyBorder="1" applyAlignment="1" applyProtection="1">
      <alignment horizontal="left" vertical="center" wrapText="1" indent="15"/>
      <protection locked="0"/>
    </xf>
    <xf numFmtId="164" fontId="5" fillId="0" borderId="0" xfId="301" applyNumberFormat="1" applyFont="1" applyAlignment="1">
      <alignment horizontal="right" vertical="center" wrapText="1"/>
    </xf>
    <xf numFmtId="164" fontId="5" fillId="0" borderId="36" xfId="301" applyNumberFormat="1" applyFont="1" applyBorder="1" applyAlignment="1">
      <alignment horizontal="right" vertical="center" wrapText="1"/>
    </xf>
    <xf numFmtId="168" fontId="5" fillId="0" borderId="0" xfId="301" applyNumberFormat="1" applyFont="1" applyAlignment="1">
      <alignment horizontal="right" vertical="center" wrapText="1"/>
    </xf>
    <xf numFmtId="168" fontId="5" fillId="0" borderId="0" xfId="301" applyNumberFormat="1" applyFont="1" applyBorder="1" applyAlignment="1">
      <alignment horizontal="right" vertical="center" wrapText="1"/>
    </xf>
    <xf numFmtId="167" fontId="54" fillId="0" borderId="0" xfId="301" applyNumberFormat="1" applyFont="1" applyAlignment="1">
      <alignment horizontal="center" vertical="center" wrapText="1"/>
    </xf>
    <xf numFmtId="167" fontId="9" fillId="0" borderId="0" xfId="301" applyNumberFormat="1" applyFont="1" applyAlignment="1">
      <alignment horizontal="center" vertical="center" wrapText="1"/>
    </xf>
    <xf numFmtId="167" fontId="5" fillId="0" borderId="0" xfId="301" applyNumberFormat="1" applyFont="1" applyAlignment="1" applyProtection="1">
      <alignment horizontal="left" vertical="center" wrapText="1"/>
      <protection locked="0"/>
    </xf>
    <xf numFmtId="0" fontId="54" fillId="0" borderId="0" xfId="301" applyFont="1" applyAlignment="1">
      <alignment horizontal="center" vertical="center" wrapText="1"/>
    </xf>
    <xf numFmtId="167" fontId="54" fillId="0" borderId="0" xfId="302" applyNumberFormat="1" applyFont="1" applyAlignment="1">
      <alignment horizontal="center" vertical="center" wrapText="1"/>
    </xf>
    <xf numFmtId="167" fontId="54" fillId="0" borderId="0" xfId="302" applyNumberFormat="1" applyFont="1" applyAlignment="1">
      <alignment horizontal="center" vertical="center"/>
    </xf>
    <xf numFmtId="164" fontId="5" fillId="0" borderId="0" xfId="302" applyNumberFormat="1" applyFont="1" applyAlignment="1">
      <alignment horizontal="right" vertical="center" wrapText="1" indent="1"/>
    </xf>
    <xf numFmtId="164" fontId="5" fillId="0" borderId="36" xfId="302" applyNumberFormat="1" applyFont="1" applyBorder="1" applyAlignment="1">
      <alignment horizontal="right" vertical="center" wrapText="1" indent="1"/>
    </xf>
    <xf numFmtId="164" fontId="5" fillId="0" borderId="40" xfId="302" applyNumberFormat="1" applyFont="1" applyBorder="1" applyAlignment="1">
      <alignment horizontal="right" vertical="center" wrapText="1"/>
    </xf>
    <xf numFmtId="167" fontId="9" fillId="0" borderId="0" xfId="302" applyNumberFormat="1" applyFont="1" applyAlignment="1">
      <alignment horizontal="center" vertical="center" wrapText="1"/>
    </xf>
    <xf numFmtId="167" fontId="124" fillId="0" borderId="0" xfId="302" applyNumberFormat="1" applyFont="1" applyAlignment="1" applyProtection="1">
      <alignment horizontal="left" wrapText="1"/>
      <protection locked="0"/>
    </xf>
    <xf numFmtId="0" fontId="119" fillId="0" borderId="80" xfId="302" applyFont="1" applyBorder="1" applyAlignment="1" applyProtection="1">
      <alignment horizontal="center"/>
      <protection locked="0"/>
    </xf>
    <xf numFmtId="167" fontId="119" fillId="0" borderId="80" xfId="302" applyNumberFormat="1" applyFont="1" applyBorder="1" applyAlignment="1" applyProtection="1">
      <alignment horizontal="center"/>
      <protection locked="0"/>
    </xf>
    <xf numFmtId="167" fontId="5" fillId="0" borderId="0" xfId="302" applyNumberFormat="1" applyFont="1" applyAlignment="1" applyProtection="1">
      <alignment horizontal="left" vertical="center" wrapText="1"/>
      <protection locked="0"/>
    </xf>
    <xf numFmtId="167" fontId="74" fillId="0" borderId="0" xfId="302" applyNumberFormat="1" applyFont="1" applyAlignment="1">
      <alignment horizontal="center" vertical="center" wrapText="1"/>
    </xf>
    <xf numFmtId="172" fontId="55" fillId="0" borderId="28" xfId="326" applyNumberFormat="1" applyFont="1" applyFill="1" applyBorder="1" applyAlignment="1" applyProtection="1">
      <alignment horizontal="left" vertical="center" wrapText="1" indent="4"/>
      <protection locked="0"/>
    </xf>
    <xf numFmtId="172" fontId="55" fillId="0" borderId="52" xfId="326" applyNumberFormat="1" applyFont="1" applyFill="1" applyBorder="1" applyAlignment="1" applyProtection="1">
      <alignment horizontal="left" vertical="center" wrapText="1" indent="4"/>
      <protection locked="0"/>
    </xf>
    <xf numFmtId="172" fontId="55" fillId="0" borderId="39" xfId="326" applyNumberFormat="1" applyFont="1" applyFill="1" applyBorder="1" applyAlignment="1" applyProtection="1">
      <alignment horizontal="left" vertical="center" wrapText="1" indent="4"/>
      <protection locked="0"/>
    </xf>
    <xf numFmtId="164" fontId="5" fillId="0" borderId="0" xfId="302" applyNumberFormat="1" applyFont="1" applyAlignment="1">
      <alignment horizontal="left" vertical="center" wrapText="1" indent="2"/>
    </xf>
    <xf numFmtId="167" fontId="5" fillId="0" borderId="0" xfId="302" applyNumberFormat="1" applyFont="1" applyAlignment="1" applyProtection="1">
      <alignment vertical="center" wrapText="1"/>
      <protection locked="0"/>
    </xf>
    <xf numFmtId="167" fontId="150" fillId="0" borderId="0" xfId="302" applyNumberFormat="1" applyFont="1" applyAlignment="1">
      <alignment horizontal="left" vertical="center" wrapText="1"/>
    </xf>
    <xf numFmtId="164" fontId="5" fillId="0" borderId="0" xfId="302" applyNumberFormat="1" applyFont="1" applyAlignment="1">
      <alignment horizontal="right" vertical="center" wrapText="1"/>
    </xf>
    <xf numFmtId="167" fontId="5" fillId="0" borderId="57" xfId="302" applyNumberFormat="1" applyFont="1" applyBorder="1" applyAlignment="1">
      <alignment horizontal="center" vertical="center" wrapText="1"/>
    </xf>
    <xf numFmtId="167" fontId="5" fillId="0" borderId="23" xfId="302" applyNumberFormat="1" applyFont="1" applyBorder="1" applyAlignment="1">
      <alignment horizontal="center" vertical="center" wrapText="1"/>
    </xf>
    <xf numFmtId="49" fontId="8" fillId="0" borderId="58" xfId="302" applyNumberFormat="1" applyFont="1" applyBorder="1" applyAlignment="1">
      <alignment horizontal="center" vertical="center" wrapText="1"/>
    </xf>
    <xf numFmtId="49" fontId="8" fillId="0" borderId="53" xfId="302" applyNumberFormat="1" applyFont="1" applyBorder="1" applyAlignment="1">
      <alignment horizontal="center" vertical="center" wrapText="1"/>
    </xf>
    <xf numFmtId="167" fontId="5" fillId="0" borderId="58" xfId="326" applyNumberFormat="1" applyFont="1" applyFill="1" applyBorder="1" applyAlignment="1" applyProtection="1">
      <alignment horizontal="center" vertical="center" wrapText="1"/>
      <protection locked="0"/>
    </xf>
    <xf numFmtId="167" fontId="5" fillId="0" borderId="53" xfId="326" applyNumberFormat="1" applyFont="1" applyFill="1" applyBorder="1" applyAlignment="1" applyProtection="1">
      <alignment horizontal="center" vertical="center" wrapText="1"/>
      <protection locked="0"/>
    </xf>
    <xf numFmtId="167" fontId="5" fillId="0" borderId="55" xfId="326" applyNumberFormat="1" applyFont="1" applyFill="1" applyBorder="1" applyAlignment="1" applyProtection="1">
      <alignment horizontal="center" vertical="center" wrapText="1"/>
      <protection locked="0"/>
    </xf>
    <xf numFmtId="167" fontId="5" fillId="0" borderId="25" xfId="326" applyNumberFormat="1" applyFont="1" applyFill="1" applyBorder="1" applyAlignment="1" applyProtection="1">
      <alignment horizontal="center" vertical="center" wrapText="1"/>
      <protection locked="0"/>
    </xf>
    <xf numFmtId="0" fontId="5" fillId="0" borderId="97" xfId="302" applyFont="1" applyBorder="1" applyAlignment="1">
      <alignment horizontal="center" vertical="center" wrapText="1"/>
    </xf>
    <xf numFmtId="0" fontId="5" fillId="0" borderId="59" xfId="302" applyFont="1" applyBorder="1" applyAlignment="1">
      <alignment horizontal="center" vertical="center" wrapText="1"/>
    </xf>
    <xf numFmtId="172" fontId="74" fillId="0" borderId="0" xfId="326" applyNumberFormat="1" applyFont="1" applyFill="1" applyBorder="1" applyAlignment="1" applyProtection="1">
      <alignment horizontal="center" vertical="center" wrapText="1"/>
      <protection locked="0"/>
    </xf>
    <xf numFmtId="167" fontId="55" fillId="0" borderId="0" xfId="302" applyNumberFormat="1" applyFont="1" applyAlignment="1">
      <alignment horizontal="left" vertical="center" wrapText="1"/>
    </xf>
    <xf numFmtId="167" fontId="55" fillId="0" borderId="0" xfId="302" applyNumberFormat="1" applyFont="1" applyAlignment="1">
      <alignment horizontal="left"/>
    </xf>
    <xf numFmtId="164" fontId="5" fillId="0" borderId="0" xfId="329" applyNumberFormat="1" applyFont="1" applyAlignment="1">
      <alignment horizontal="right" vertical="center" wrapText="1" indent="1"/>
    </xf>
    <xf numFmtId="164" fontId="5" fillId="0" borderId="36" xfId="329" applyNumberFormat="1" applyFont="1" applyBorder="1" applyAlignment="1">
      <alignment horizontal="right" vertical="center" wrapText="1" indent="1"/>
    </xf>
    <xf numFmtId="167" fontId="5" fillId="0" borderId="0" xfId="329" applyNumberFormat="1" applyFont="1" applyAlignment="1" applyProtection="1">
      <alignment horizontal="left" vertical="center" wrapText="1"/>
      <protection locked="0"/>
    </xf>
    <xf numFmtId="167" fontId="54" fillId="0" borderId="0" xfId="329" applyNumberFormat="1" applyFont="1" applyAlignment="1">
      <alignment horizontal="center" vertical="center" wrapText="1"/>
    </xf>
    <xf numFmtId="167" fontId="9" fillId="0" borderId="0" xfId="329" applyNumberFormat="1" applyFont="1" applyAlignment="1">
      <alignment horizontal="center" vertical="center" wrapText="1"/>
    </xf>
    <xf numFmtId="164" fontId="55" fillId="0" borderId="45" xfId="329" applyNumberFormat="1" applyFont="1" applyBorder="1" applyAlignment="1">
      <alignment horizontal="center" vertical="center" wrapText="1"/>
    </xf>
    <xf numFmtId="164" fontId="55" fillId="0" borderId="33" xfId="329" applyNumberFormat="1" applyFont="1" applyBorder="1" applyAlignment="1">
      <alignment horizontal="center" vertical="center" wrapText="1"/>
    </xf>
    <xf numFmtId="164" fontId="5" fillId="0" borderId="0" xfId="329" applyNumberFormat="1" applyFont="1" applyAlignment="1">
      <alignment horizontal="right" vertical="center" wrapText="1"/>
    </xf>
    <xf numFmtId="164" fontId="57" fillId="0" borderId="67" xfId="0" applyNumberFormat="1" applyFont="1" applyBorder="1" applyAlignment="1">
      <alignment horizontal="left" vertical="center" wrapText="1" indent="3"/>
    </xf>
    <xf numFmtId="164" fontId="57" fillId="0" borderId="23" xfId="0" applyNumberFormat="1" applyFont="1" applyBorder="1" applyAlignment="1">
      <alignment horizontal="left" vertical="center" wrapText="1" indent="3"/>
    </xf>
    <xf numFmtId="164" fontId="57" fillId="0" borderId="20" xfId="0" applyNumberFormat="1" applyFont="1" applyBorder="1" applyAlignment="1">
      <alignment horizontal="left" vertical="center" wrapText="1" indent="3"/>
    </xf>
    <xf numFmtId="164" fontId="57" fillId="0" borderId="52" xfId="0" applyNumberFormat="1" applyFont="1" applyBorder="1" applyAlignment="1">
      <alignment horizontal="center" vertical="center" wrapText="1"/>
    </xf>
    <xf numFmtId="164" fontId="57" fillId="0" borderId="39" xfId="0" applyNumberFormat="1" applyFont="1" applyBorder="1" applyAlignment="1">
      <alignment horizontal="center" vertical="center" wrapText="1"/>
    </xf>
    <xf numFmtId="164" fontId="57" fillId="0" borderId="65" xfId="0" applyNumberFormat="1" applyFont="1" applyBorder="1" applyAlignment="1">
      <alignment horizontal="center" vertical="center" wrapText="1"/>
    </xf>
    <xf numFmtId="164" fontId="57" fillId="0" borderId="38" xfId="0" applyNumberFormat="1" applyFont="1" applyBorder="1" applyAlignment="1">
      <alignment horizontal="center" vertical="center" wrapText="1"/>
    </xf>
    <xf numFmtId="164" fontId="57" fillId="0" borderId="64" xfId="0" applyNumberFormat="1" applyFont="1" applyBorder="1" applyAlignment="1">
      <alignment horizontal="center" vertical="center" wrapText="1"/>
    </xf>
    <xf numFmtId="164" fontId="57" fillId="0" borderId="53" xfId="0" applyNumberFormat="1" applyFont="1" applyBorder="1" applyAlignment="1">
      <alignment horizontal="center" vertical="center" wrapText="1"/>
    </xf>
    <xf numFmtId="164" fontId="57" fillId="0" borderId="64" xfId="0" applyNumberFormat="1" applyFont="1" applyBorder="1" applyAlignment="1" applyProtection="1">
      <alignment horizontal="center" vertical="center" wrapText="1"/>
      <protection locked="0"/>
    </xf>
    <xf numFmtId="164" fontId="57" fillId="0" borderId="53" xfId="0" applyNumberFormat="1" applyFont="1" applyBorder="1" applyAlignment="1" applyProtection="1">
      <alignment horizontal="center" vertical="center" wrapText="1"/>
      <protection locked="0"/>
    </xf>
    <xf numFmtId="164" fontId="57" fillId="0" borderId="66" xfId="0" applyNumberFormat="1" applyFont="1" applyBorder="1" applyAlignment="1">
      <alignment horizontal="center" vertical="center" wrapText="1"/>
    </xf>
    <xf numFmtId="164" fontId="57" fillId="0" borderId="59" xfId="0" applyNumberFormat="1" applyFont="1" applyBorder="1" applyAlignment="1">
      <alignment horizontal="center" vertical="center" wrapText="1"/>
    </xf>
    <xf numFmtId="164" fontId="57" fillId="0" borderId="57" xfId="0" applyNumberFormat="1" applyFont="1" applyBorder="1" applyAlignment="1">
      <alignment horizontal="left" vertical="center" wrapText="1"/>
    </xf>
    <xf numFmtId="164" fontId="57" fillId="0" borderId="20" xfId="0" applyNumberFormat="1" applyFont="1" applyBorder="1" applyAlignment="1">
      <alignment horizontal="left" vertical="center" wrapText="1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horizontal="center"/>
    </xf>
    <xf numFmtId="164" fontId="57" fillId="0" borderId="57" xfId="0" applyNumberFormat="1" applyFont="1" applyBorder="1" applyAlignment="1">
      <alignment horizontal="center" vertical="center" wrapText="1"/>
    </xf>
    <xf numFmtId="164" fontId="57" fillId="0" borderId="35" xfId="0" applyNumberFormat="1" applyFont="1" applyBorder="1" applyAlignment="1">
      <alignment horizontal="center" vertical="center" wrapText="1"/>
    </xf>
    <xf numFmtId="164" fontId="57" fillId="0" borderId="23" xfId="0" applyNumberFormat="1" applyFont="1" applyBorder="1" applyAlignment="1">
      <alignment horizontal="center" vertical="center" wrapText="1"/>
    </xf>
    <xf numFmtId="164" fontId="155" fillId="41" borderId="58" xfId="0" applyNumberFormat="1" applyFont="1" applyFill="1" applyBorder="1" applyAlignment="1">
      <alignment horizontal="center" vertical="center" wrapText="1"/>
    </xf>
    <xf numFmtId="164" fontId="155" fillId="41" borderId="63" xfId="0" applyNumberFormat="1" applyFont="1" applyFill="1" applyBorder="1" applyAlignment="1">
      <alignment horizontal="center" vertical="center" wrapText="1"/>
    </xf>
    <xf numFmtId="164" fontId="155" fillId="41" borderId="53" xfId="0" applyNumberFormat="1" applyFont="1" applyFill="1" applyBorder="1" applyAlignment="1">
      <alignment horizontal="center" vertical="center" wrapText="1"/>
    </xf>
    <xf numFmtId="164" fontId="57" fillId="0" borderId="58" xfId="0" applyNumberFormat="1" applyFont="1" applyBorder="1" applyAlignment="1">
      <alignment horizontal="center" vertical="center" wrapText="1"/>
    </xf>
    <xf numFmtId="164" fontId="57" fillId="0" borderId="63" xfId="0" applyNumberFormat="1" applyFont="1" applyBorder="1" applyAlignment="1">
      <alignment horizontal="center" vertical="center" wrapText="1"/>
    </xf>
    <xf numFmtId="164" fontId="57" fillId="0" borderId="62" xfId="0" applyNumberFormat="1" applyFont="1" applyBorder="1" applyAlignment="1">
      <alignment horizontal="center" vertical="center" wrapText="1"/>
    </xf>
    <xf numFmtId="164" fontId="57" fillId="0" borderId="26" xfId="0" applyNumberFormat="1" applyFont="1" applyBorder="1" applyAlignment="1">
      <alignment horizontal="center" vertical="center" wrapText="1"/>
    </xf>
    <xf numFmtId="164" fontId="57" fillId="0" borderId="45" xfId="0" applyNumberFormat="1" applyFont="1" applyBorder="1" applyAlignment="1">
      <alignment horizontal="center" vertical="center" wrapText="1"/>
    </xf>
    <xf numFmtId="164" fontId="57" fillId="0" borderId="33" xfId="0" applyNumberFormat="1" applyFont="1" applyBorder="1" applyAlignment="1">
      <alignment horizontal="center" vertical="center" wrapText="1"/>
    </xf>
    <xf numFmtId="164" fontId="57" fillId="0" borderId="67" xfId="0" applyNumberFormat="1" applyFont="1" applyBorder="1" applyAlignment="1">
      <alignment horizontal="left" vertical="center" wrapText="1" indent="2"/>
    </xf>
    <xf numFmtId="164" fontId="57" fillId="0" borderId="20" xfId="0" applyNumberFormat="1" applyFont="1" applyBorder="1" applyAlignment="1">
      <alignment horizontal="left" vertical="center" wrapText="1" indent="2"/>
    </xf>
    <xf numFmtId="164" fontId="57" fillId="0" borderId="23" xfId="0" applyNumberFormat="1" applyFont="1" applyBorder="1" applyAlignment="1">
      <alignment horizontal="left" vertical="center" wrapText="1" indent="2"/>
    </xf>
    <xf numFmtId="164" fontId="57" fillId="0" borderId="50" xfId="0" applyNumberFormat="1" applyFont="1" applyBorder="1" applyAlignment="1">
      <alignment horizontal="left" vertical="center" wrapText="1"/>
    </xf>
    <xf numFmtId="164" fontId="57" fillId="0" borderId="60" xfId="0" applyNumberFormat="1" applyFont="1" applyBorder="1" applyAlignment="1">
      <alignment horizontal="left" vertical="center" wrapText="1"/>
    </xf>
    <xf numFmtId="164" fontId="57" fillId="0" borderId="61" xfId="0" applyNumberFormat="1" applyFont="1" applyBorder="1" applyAlignment="1">
      <alignment horizontal="left" vertical="center" wrapText="1" indent="2"/>
    </xf>
    <xf numFmtId="164" fontId="57" fillId="0" borderId="30" xfId="0" applyNumberFormat="1" applyFont="1" applyBorder="1" applyAlignment="1">
      <alignment horizontal="left" vertical="center" wrapText="1" indent="2"/>
    </xf>
    <xf numFmtId="167" fontId="6" fillId="0" borderId="0" xfId="302" applyNumberFormat="1" applyAlignment="1">
      <alignment wrapText="1"/>
    </xf>
    <xf numFmtId="0" fontId="87" fillId="0" borderId="0" xfId="0" applyFont="1" applyAlignment="1">
      <alignment horizontal="center" wrapText="1"/>
    </xf>
    <xf numFmtId="164" fontId="57" fillId="0" borderId="45" xfId="0" applyNumberFormat="1" applyFont="1" applyFill="1" applyBorder="1" applyAlignment="1">
      <alignment horizontal="center" vertical="center" wrapText="1"/>
    </xf>
    <xf numFmtId="164" fontId="57" fillId="0" borderId="33" xfId="0" applyNumberFormat="1" applyFont="1" applyFill="1" applyBorder="1" applyAlignment="1">
      <alignment horizontal="center" vertical="center" wrapText="1"/>
    </xf>
    <xf numFmtId="164" fontId="57" fillId="0" borderId="17" xfId="0" applyNumberFormat="1" applyFont="1" applyBorder="1" applyAlignment="1">
      <alignment horizontal="left" vertical="center" wrapText="1"/>
    </xf>
    <xf numFmtId="164" fontId="57" fillId="0" borderId="48" xfId="0" applyNumberFormat="1" applyFont="1" applyBorder="1" applyAlignment="1">
      <alignment horizontal="left" vertical="center" wrapText="1"/>
    </xf>
    <xf numFmtId="164" fontId="57" fillId="0" borderId="44" xfId="0" applyNumberFormat="1" applyFont="1" applyBorder="1" applyAlignment="1">
      <alignment horizontal="center" vertical="center" wrapText="1"/>
    </xf>
    <xf numFmtId="164" fontId="57" fillId="0" borderId="76" xfId="0" applyNumberFormat="1" applyFont="1" applyBorder="1" applyAlignment="1">
      <alignment horizontal="center" vertical="center" wrapText="1"/>
    </xf>
    <xf numFmtId="164" fontId="57" fillId="0" borderId="31" xfId="0" applyNumberFormat="1" applyFont="1" applyBorder="1" applyAlignment="1">
      <alignment horizontal="center" vertical="center" wrapText="1"/>
    </xf>
    <xf numFmtId="0" fontId="87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center" vertical="center"/>
      <protection locked="0"/>
    </xf>
    <xf numFmtId="164" fontId="57" fillId="0" borderId="57" xfId="0" applyNumberFormat="1" applyFont="1" applyBorder="1" applyAlignment="1" applyProtection="1">
      <alignment horizontal="center" vertical="center" wrapText="1"/>
      <protection locked="0"/>
    </xf>
    <xf numFmtId="164" fontId="57" fillId="0" borderId="35" xfId="0" applyNumberFormat="1" applyFont="1" applyBorder="1" applyAlignment="1" applyProtection="1">
      <alignment horizontal="center" vertical="center" wrapText="1"/>
      <protection locked="0"/>
    </xf>
    <xf numFmtId="164" fontId="57" fillId="0" borderId="23" xfId="0" applyNumberFormat="1" applyFont="1" applyBorder="1" applyAlignment="1" applyProtection="1">
      <alignment horizontal="center" vertical="center" wrapText="1"/>
      <protection locked="0"/>
    </xf>
    <xf numFmtId="164" fontId="57" fillId="0" borderId="58" xfId="0" applyNumberFormat="1" applyFont="1" applyBorder="1" applyAlignment="1" applyProtection="1">
      <alignment horizontal="center" vertical="center" wrapText="1"/>
      <protection locked="0"/>
    </xf>
    <xf numFmtId="164" fontId="57" fillId="0" borderId="63" xfId="0" applyNumberFormat="1" applyFont="1" applyBorder="1" applyAlignment="1" applyProtection="1">
      <alignment horizontal="center" vertical="center" wrapText="1"/>
      <protection locked="0"/>
    </xf>
    <xf numFmtId="164" fontId="57" fillId="0" borderId="62" xfId="0" applyNumberFormat="1" applyFont="1" applyBorder="1" applyAlignment="1" applyProtection="1">
      <alignment horizontal="center" vertical="center" wrapText="1"/>
      <protection locked="0"/>
    </xf>
    <xf numFmtId="164" fontId="57" fillId="0" borderId="33" xfId="0" applyNumberFormat="1" applyFont="1" applyBorder="1" applyAlignment="1" applyProtection="1">
      <alignment horizontal="center" vertical="center" wrapText="1"/>
      <protection locked="0"/>
    </xf>
    <xf numFmtId="164" fontId="57" fillId="0" borderId="66" xfId="0" applyNumberFormat="1" applyFont="1" applyBorder="1" applyAlignment="1" applyProtection="1">
      <alignment horizontal="center" vertical="center" wrapText="1"/>
      <protection locked="0"/>
    </xf>
    <xf numFmtId="164" fontId="57" fillId="0" borderId="59" xfId="0" applyNumberFormat="1" applyFont="1" applyBorder="1" applyAlignment="1" applyProtection="1">
      <alignment horizontal="center" vertical="center" wrapText="1"/>
      <protection locked="0"/>
    </xf>
    <xf numFmtId="164" fontId="57" fillId="0" borderId="65" xfId="0" applyNumberFormat="1" applyFont="1" applyBorder="1" applyAlignment="1" applyProtection="1">
      <alignment horizontal="center" vertical="center" wrapText="1"/>
      <protection locked="0"/>
    </xf>
    <xf numFmtId="164" fontId="57" fillId="0" borderId="38" xfId="0" applyNumberFormat="1" applyFont="1" applyBorder="1" applyAlignment="1" applyProtection="1">
      <alignment horizontal="center" vertical="center" wrapText="1"/>
      <protection locked="0"/>
    </xf>
    <xf numFmtId="164" fontId="57" fillId="0" borderId="45" xfId="0" applyNumberFormat="1" applyFont="1" applyBorder="1" applyAlignment="1" applyProtection="1">
      <alignment horizontal="center" vertical="center" wrapText="1"/>
      <protection locked="0"/>
    </xf>
    <xf numFmtId="164" fontId="57" fillId="0" borderId="26" xfId="0" applyNumberFormat="1" applyFont="1" applyBorder="1" applyAlignment="1" applyProtection="1">
      <alignment horizontal="center" vertical="center" wrapText="1"/>
      <protection locked="0"/>
    </xf>
    <xf numFmtId="164" fontId="57" fillId="0" borderId="67" xfId="0" applyNumberFormat="1" applyFont="1" applyBorder="1" applyAlignment="1" applyProtection="1">
      <alignment horizontal="left" vertical="center" wrapText="1" indent="2"/>
      <protection locked="0"/>
    </xf>
    <xf numFmtId="164" fontId="57" fillId="0" borderId="20" xfId="0" applyNumberFormat="1" applyFont="1" applyBorder="1" applyAlignment="1" applyProtection="1">
      <alignment horizontal="left" vertical="center" wrapText="1" indent="2"/>
      <protection locked="0"/>
    </xf>
    <xf numFmtId="164" fontId="57" fillId="0" borderId="35" xfId="0" applyNumberFormat="1" applyFont="1" applyBorder="1" applyAlignment="1" applyProtection="1">
      <alignment horizontal="left" vertical="center" wrapText="1"/>
      <protection locked="0"/>
    </xf>
    <xf numFmtId="164" fontId="57" fillId="0" borderId="20" xfId="0" applyNumberFormat="1" applyFont="1" applyBorder="1" applyAlignment="1" applyProtection="1">
      <alignment horizontal="left" vertical="center" wrapText="1"/>
      <protection locked="0"/>
    </xf>
    <xf numFmtId="164" fontId="57" fillId="0" borderId="23" xfId="0" applyNumberFormat="1" applyFont="1" applyBorder="1" applyAlignment="1" applyProtection="1">
      <alignment horizontal="left" vertical="center" wrapText="1" indent="2"/>
      <protection locked="0"/>
    </xf>
    <xf numFmtId="164" fontId="159" fillId="41" borderId="58" xfId="0" applyNumberFormat="1" applyFont="1" applyFill="1" applyBorder="1" applyAlignment="1">
      <alignment horizontal="center" vertical="center" wrapText="1"/>
    </xf>
    <xf numFmtId="164" fontId="159" fillId="41" borderId="63" xfId="0" applyNumberFormat="1" applyFont="1" applyFill="1" applyBorder="1" applyAlignment="1">
      <alignment horizontal="center" vertical="center" wrapText="1"/>
    </xf>
    <xf numFmtId="164" fontId="159" fillId="41" borderId="53" xfId="0" applyNumberFormat="1" applyFont="1" applyFill="1" applyBorder="1" applyAlignment="1">
      <alignment horizontal="center" vertical="center" wrapText="1"/>
    </xf>
    <xf numFmtId="167" fontId="85" fillId="0" borderId="0" xfId="302" applyNumberFormat="1" applyFont="1" applyAlignment="1">
      <alignment horizontal="left" vertical="center" wrapText="1"/>
    </xf>
    <xf numFmtId="164" fontId="57" fillId="0" borderId="56" xfId="0" applyNumberFormat="1" applyFont="1" applyBorder="1" applyAlignment="1">
      <alignment horizontal="left" vertical="center" wrapText="1"/>
    </xf>
    <xf numFmtId="164" fontId="57" fillId="0" borderId="37" xfId="0" applyNumberFormat="1" applyFont="1" applyBorder="1" applyAlignment="1">
      <alignment horizontal="left" vertical="center" wrapText="1"/>
    </xf>
    <xf numFmtId="164" fontId="57" fillId="0" borderId="56" xfId="0" applyNumberFormat="1" applyFont="1" applyBorder="1" applyAlignment="1">
      <alignment horizontal="left" vertical="center" wrapText="1" indent="3"/>
    </xf>
    <xf numFmtId="164" fontId="57" fillId="0" borderId="37" xfId="0" applyNumberFormat="1" applyFont="1" applyBorder="1" applyAlignment="1">
      <alignment horizontal="left" vertical="center" wrapText="1" indent="3"/>
    </xf>
    <xf numFmtId="164" fontId="57" fillId="0" borderId="25" xfId="0" applyNumberFormat="1" applyFont="1" applyBorder="1" applyAlignment="1">
      <alignment horizontal="left" vertical="center" wrapText="1"/>
    </xf>
    <xf numFmtId="164" fontId="57" fillId="0" borderId="47" xfId="0" applyNumberFormat="1" applyFont="1" applyBorder="1" applyAlignment="1">
      <alignment horizontal="left" vertical="center" wrapText="1"/>
    </xf>
    <xf numFmtId="164" fontId="57" fillId="0" borderId="61" xfId="0" applyNumberFormat="1" applyFont="1" applyBorder="1" applyAlignment="1">
      <alignment horizontal="left" vertical="center" wrapText="1"/>
    </xf>
    <xf numFmtId="164" fontId="57" fillId="0" borderId="30" xfId="0" applyNumberFormat="1" applyFont="1" applyBorder="1" applyAlignment="1">
      <alignment horizontal="left" vertical="center" wrapText="1"/>
    </xf>
    <xf numFmtId="164" fontId="57" fillId="0" borderId="28" xfId="0" applyNumberFormat="1" applyFont="1" applyBorder="1" applyAlignment="1">
      <alignment horizontal="left" vertical="center" wrapText="1"/>
    </xf>
    <xf numFmtId="164" fontId="57" fillId="0" borderId="52" xfId="0" applyNumberFormat="1" applyFont="1" applyBorder="1" applyAlignment="1">
      <alignment horizontal="left" vertical="center" wrapText="1"/>
    </xf>
    <xf numFmtId="164" fontId="57" fillId="0" borderId="38" xfId="0" applyNumberFormat="1" applyFont="1" applyBorder="1" applyAlignment="1">
      <alignment horizontal="left" vertical="center" wrapText="1"/>
    </xf>
    <xf numFmtId="168" fontId="57" fillId="0" borderId="69" xfId="0" applyNumberFormat="1" applyFont="1" applyBorder="1" applyAlignment="1">
      <alignment horizontal="right" vertical="center" wrapText="1"/>
    </xf>
    <xf numFmtId="168" fontId="57" fillId="0" borderId="31" xfId="0" applyNumberFormat="1" applyFont="1" applyBorder="1" applyAlignment="1">
      <alignment horizontal="right" vertical="center" wrapText="1"/>
    </xf>
    <xf numFmtId="168" fontId="57" fillId="0" borderId="91" xfId="0" applyNumberFormat="1" applyFont="1" applyFill="1" applyBorder="1" applyAlignment="1">
      <alignment horizontal="right" vertical="center" wrapText="1"/>
    </xf>
    <xf numFmtId="168" fontId="57" fillId="0" borderId="32" xfId="0" applyNumberFormat="1" applyFont="1" applyFill="1" applyBorder="1" applyAlignment="1">
      <alignment horizontal="right" vertical="center" wrapText="1"/>
    </xf>
    <xf numFmtId="168" fontId="57" fillId="0" borderId="65" xfId="0" applyNumberFormat="1" applyFont="1" applyBorder="1" applyAlignment="1">
      <alignment horizontal="right" vertical="center" wrapText="1"/>
    </xf>
    <xf numFmtId="168" fontId="57" fillId="0" borderId="38" xfId="0" applyNumberFormat="1" applyFont="1" applyBorder="1" applyAlignment="1">
      <alignment horizontal="right" vertical="center" wrapText="1"/>
    </xf>
    <xf numFmtId="168" fontId="57" fillId="0" borderId="39" xfId="0" applyNumberFormat="1" applyFont="1" applyBorder="1" applyAlignment="1">
      <alignment horizontal="right" vertical="center" wrapText="1"/>
    </xf>
    <xf numFmtId="168" fontId="57" fillId="0" borderId="52" xfId="0" applyNumberFormat="1" applyFont="1" applyFill="1" applyBorder="1" applyAlignment="1">
      <alignment horizontal="right" vertical="center" wrapText="1"/>
    </xf>
    <xf numFmtId="168" fontId="57" fillId="0" borderId="39" xfId="0" applyNumberFormat="1" applyFont="1" applyFill="1" applyBorder="1" applyAlignment="1">
      <alignment horizontal="right" vertical="center" wrapText="1"/>
    </xf>
    <xf numFmtId="168" fontId="57" fillId="0" borderId="95" xfId="0" applyNumberFormat="1" applyFont="1" applyBorder="1" applyAlignment="1">
      <alignment horizontal="right" vertical="center" wrapText="1"/>
    </xf>
    <xf numFmtId="168" fontId="57" fillId="0" borderId="21" xfId="0" applyNumberFormat="1" applyFont="1" applyBorder="1" applyAlignment="1">
      <alignment horizontal="right" vertical="center" wrapText="1"/>
    </xf>
    <xf numFmtId="168" fontId="57" fillId="0" borderId="22" xfId="0" applyNumberFormat="1" applyFont="1" applyBorder="1" applyAlignment="1">
      <alignment horizontal="right" vertical="center" wrapText="1"/>
    </xf>
    <xf numFmtId="164" fontId="57" fillId="0" borderId="17" xfId="0" applyNumberFormat="1" applyFont="1" applyBorder="1" applyAlignment="1">
      <alignment horizontal="center" vertical="center" wrapText="1"/>
    </xf>
    <xf numFmtId="164" fontId="57" fillId="0" borderId="48" xfId="0" applyNumberFormat="1" applyFont="1" applyBorder="1" applyAlignment="1">
      <alignment horizontal="center" vertical="center" wrapText="1"/>
    </xf>
    <xf numFmtId="164" fontId="57" fillId="0" borderId="68" xfId="0" applyNumberFormat="1" applyFont="1" applyBorder="1" applyAlignment="1">
      <alignment horizontal="center" vertical="center" wrapText="1"/>
    </xf>
    <xf numFmtId="164" fontId="57" fillId="0" borderId="18" xfId="0" applyNumberFormat="1" applyFont="1" applyBorder="1" applyAlignment="1">
      <alignment horizontal="center" vertical="center" wrapText="1"/>
    </xf>
    <xf numFmtId="164" fontId="57" fillId="0" borderId="68" xfId="0" applyNumberFormat="1" applyFont="1" applyFill="1" applyBorder="1" applyAlignment="1">
      <alignment horizontal="center" vertical="center" wrapText="1"/>
    </xf>
    <xf numFmtId="164" fontId="57" fillId="0" borderId="19" xfId="0" applyNumberFormat="1" applyFont="1" applyFill="1" applyBorder="1" applyAlignment="1">
      <alignment horizontal="center" vertical="center" wrapText="1"/>
    </xf>
    <xf numFmtId="164" fontId="54" fillId="0" borderId="67" xfId="0" applyNumberFormat="1" applyFont="1" applyBorder="1" applyAlignment="1">
      <alignment horizontal="center" vertical="center" wrapText="1"/>
    </xf>
    <xf numFmtId="164" fontId="54" fillId="0" borderId="23" xfId="0" applyNumberFormat="1" applyFont="1" applyBorder="1" applyAlignment="1">
      <alignment horizontal="center" vertical="center" wrapText="1"/>
    </xf>
    <xf numFmtId="164" fontId="57" fillId="0" borderId="67" xfId="0" applyNumberFormat="1" applyFont="1" applyBorder="1" applyAlignment="1">
      <alignment horizontal="left" vertical="center" wrapText="1"/>
    </xf>
    <xf numFmtId="164" fontId="57" fillId="0" borderId="51" xfId="0" applyNumberFormat="1" applyFont="1" applyBorder="1" applyAlignment="1">
      <alignment horizontal="center" vertical="top" wrapText="1"/>
    </xf>
    <xf numFmtId="164" fontId="57" fillId="0" borderId="66" xfId="0" applyNumberFormat="1" applyFont="1" applyBorder="1" applyAlignment="1">
      <alignment horizontal="center" vertical="top" wrapText="1"/>
    </xf>
    <xf numFmtId="0" fontId="87" fillId="0" borderId="0" xfId="0" applyFont="1" applyAlignment="1">
      <alignment horizontal="center" vertical="center" wrapText="1"/>
    </xf>
    <xf numFmtId="164" fontId="57" fillId="0" borderId="25" xfId="0" applyNumberFormat="1" applyFont="1" applyBorder="1" applyAlignment="1">
      <alignment horizontal="center" vertical="center" wrapText="1"/>
    </xf>
    <xf numFmtId="164" fontId="57" fillId="0" borderId="56" xfId="0" applyNumberFormat="1" applyFont="1" applyBorder="1" applyAlignment="1">
      <alignment horizontal="center" vertical="center" wrapText="1"/>
    </xf>
    <xf numFmtId="164" fontId="57" fillId="0" borderId="67" xfId="0" applyNumberFormat="1" applyFont="1" applyBorder="1" applyAlignment="1">
      <alignment horizontal="center" vertical="center" wrapText="1"/>
    </xf>
    <xf numFmtId="164" fontId="159" fillId="41" borderId="47" xfId="0" applyNumberFormat="1" applyFont="1" applyFill="1" applyBorder="1" applyAlignment="1">
      <alignment horizontal="center" vertical="center" wrapText="1"/>
    </xf>
    <xf numFmtId="164" fontId="159" fillId="41" borderId="37" xfId="0" applyNumberFormat="1" applyFont="1" applyFill="1" applyBorder="1" applyAlignment="1">
      <alignment horizontal="center" vertical="center" wrapText="1"/>
    </xf>
    <xf numFmtId="164" fontId="159" fillId="41" borderId="64" xfId="0" applyNumberFormat="1" applyFont="1" applyFill="1" applyBorder="1" applyAlignment="1">
      <alignment horizontal="center" vertical="center" wrapText="1"/>
    </xf>
    <xf numFmtId="164" fontId="57" fillId="0" borderId="47" xfId="0" applyNumberFormat="1" applyFont="1" applyBorder="1" applyAlignment="1">
      <alignment horizontal="center" vertical="center" wrapText="1"/>
    </xf>
    <xf numFmtId="164" fontId="57" fillId="0" borderId="37" xfId="0" applyNumberFormat="1" applyFont="1" applyBorder="1" applyAlignment="1">
      <alignment horizontal="center" vertical="center" wrapText="1"/>
    </xf>
    <xf numFmtId="164" fontId="57" fillId="0" borderId="55" xfId="0" applyNumberFormat="1" applyFont="1" applyBorder="1" applyAlignment="1">
      <alignment horizontal="center" vertical="center" wrapText="1"/>
    </xf>
    <xf numFmtId="164" fontId="57" fillId="0" borderId="37" xfId="0" applyNumberFormat="1" applyFont="1" applyBorder="1" applyAlignment="1">
      <alignment horizontal="center" vertical="top" wrapText="1"/>
    </xf>
    <xf numFmtId="164" fontId="57" fillId="0" borderId="64" xfId="0" applyNumberFormat="1" applyFont="1" applyBorder="1" applyAlignment="1">
      <alignment horizontal="center" vertical="top" wrapText="1"/>
    </xf>
    <xf numFmtId="168" fontId="112" fillId="0" borderId="91" xfId="0" applyNumberFormat="1" applyFont="1" applyFill="1" applyBorder="1" applyAlignment="1">
      <alignment horizontal="right" vertical="center" wrapText="1"/>
    </xf>
    <xf numFmtId="0" fontId="57" fillId="0" borderId="56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left" vertical="center" wrapText="1"/>
    </xf>
    <xf numFmtId="168" fontId="113" fillId="0" borderId="52" xfId="0" applyNumberFormat="1" applyFont="1" applyFill="1" applyBorder="1" applyAlignment="1">
      <alignment horizontal="right" vertical="center" wrapText="1"/>
    </xf>
    <xf numFmtId="0" fontId="57" fillId="0" borderId="61" xfId="0" applyFont="1" applyBorder="1" applyAlignment="1">
      <alignment horizontal="left" vertical="center" wrapText="1"/>
    </xf>
    <xf numFmtId="0" fontId="57" fillId="0" borderId="30" xfId="0" applyFont="1" applyBorder="1" applyAlignment="1">
      <alignment horizontal="left" vertical="center" wrapText="1"/>
    </xf>
    <xf numFmtId="164" fontId="57" fillId="0" borderId="56" xfId="0" applyNumberFormat="1" applyFont="1" applyBorder="1" applyAlignment="1">
      <alignment horizontal="left" vertical="center" wrapText="1" indent="2"/>
    </xf>
    <xf numFmtId="164" fontId="57" fillId="0" borderId="37" xfId="0" applyNumberFormat="1" applyFont="1" applyBorder="1" applyAlignment="1">
      <alignment horizontal="left" vertical="center" wrapText="1" indent="2"/>
    </xf>
    <xf numFmtId="0" fontId="57" fillId="0" borderId="28" xfId="0" applyFont="1" applyBorder="1" applyAlignment="1">
      <alignment horizontal="left" vertical="center" wrapText="1"/>
    </xf>
    <xf numFmtId="0" fontId="57" fillId="0" borderId="52" xfId="0" applyFont="1" applyBorder="1" applyAlignment="1">
      <alignment horizontal="left" vertical="center" wrapText="1"/>
    </xf>
    <xf numFmtId="0" fontId="57" fillId="0" borderId="25" xfId="0" applyFont="1" applyBorder="1" applyAlignment="1">
      <alignment horizontal="left" vertical="center" wrapText="1"/>
    </xf>
    <xf numFmtId="0" fontId="57" fillId="0" borderId="47" xfId="0" applyFont="1" applyBorder="1" applyAlignment="1">
      <alignment horizontal="left" vertical="center" wrapText="1"/>
    </xf>
    <xf numFmtId="168" fontId="57" fillId="0" borderId="62" xfId="0" applyNumberFormat="1" applyFont="1" applyBorder="1" applyAlignment="1">
      <alignment horizontal="right" vertical="center" wrapText="1"/>
    </xf>
    <xf numFmtId="168" fontId="57" fillId="0" borderId="26" xfId="0" applyNumberFormat="1" applyFont="1" applyBorder="1" applyAlignment="1">
      <alignment horizontal="right" vertical="center" wrapText="1"/>
    </xf>
    <xf numFmtId="168" fontId="57" fillId="0" borderId="45" xfId="0" applyNumberFormat="1" applyFont="1" applyFill="1" applyBorder="1" applyAlignment="1">
      <alignment horizontal="right" vertical="center" wrapText="1"/>
    </xf>
    <xf numFmtId="0" fontId="57" fillId="0" borderId="57" xfId="0" applyFont="1" applyBorder="1" applyAlignment="1">
      <alignment horizontal="center" vertical="center"/>
    </xf>
    <xf numFmtId="0" fontId="57" fillId="0" borderId="58" xfId="0" applyFont="1" applyBorder="1" applyAlignment="1">
      <alignment horizontal="center" vertical="center"/>
    </xf>
    <xf numFmtId="164" fontId="57" fillId="0" borderId="99" xfId="0" applyNumberFormat="1" applyFont="1" applyBorder="1" applyAlignment="1">
      <alignment horizontal="center" vertical="center" wrapText="1"/>
    </xf>
    <xf numFmtId="164" fontId="57" fillId="0" borderId="94" xfId="0" applyNumberFormat="1" applyFont="1" applyBorder="1" applyAlignment="1">
      <alignment horizontal="center" vertical="center" wrapText="1"/>
    </xf>
    <xf numFmtId="0" fontId="156" fillId="41" borderId="36" xfId="0" applyFont="1" applyFill="1" applyBorder="1" applyAlignment="1">
      <alignment horizontal="center" vertical="center" wrapText="1"/>
    </xf>
    <xf numFmtId="164" fontId="57" fillId="0" borderId="67" xfId="0" applyNumberFormat="1" applyFont="1" applyBorder="1" applyAlignment="1">
      <alignment horizontal="left" vertical="center" wrapText="1" indent="1"/>
    </xf>
    <xf numFmtId="164" fontId="57" fillId="0" borderId="20" xfId="0" applyNumberFormat="1" applyFont="1" applyBorder="1" applyAlignment="1">
      <alignment horizontal="left" vertical="center" wrapText="1" indent="1"/>
    </xf>
    <xf numFmtId="0" fontId="57" fillId="0" borderId="62" xfId="0" applyFont="1" applyBorder="1" applyAlignment="1">
      <alignment horizontal="center" vertical="center" wrapText="1"/>
    </xf>
    <xf numFmtId="0" fontId="57" fillId="0" borderId="45" xfId="0" applyFont="1" applyBorder="1" applyAlignment="1">
      <alignment horizontal="center" vertical="center" wrapText="1"/>
    </xf>
    <xf numFmtId="0" fontId="57" fillId="0" borderId="26" xfId="0" applyFont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57" fillId="0" borderId="25" xfId="0" applyFont="1" applyBorder="1" applyAlignment="1">
      <alignment horizontal="center" vertical="center" wrapText="1"/>
    </xf>
    <xf numFmtId="0" fontId="57" fillId="0" borderId="56" xfId="0" applyFont="1" applyBorder="1" applyAlignment="1">
      <alignment horizontal="center" vertical="center" wrapText="1"/>
    </xf>
    <xf numFmtId="0" fontId="57" fillId="0" borderId="61" xfId="0" applyFont="1" applyBorder="1" applyAlignment="1">
      <alignment horizontal="center" vertical="center" wrapText="1"/>
    </xf>
    <xf numFmtId="0" fontId="57" fillId="0" borderId="47" xfId="0" applyFont="1" applyBorder="1" applyAlignment="1">
      <alignment horizontal="center" vertical="center" wrapText="1"/>
    </xf>
    <xf numFmtId="0" fontId="57" fillId="0" borderId="37" xfId="0" applyFont="1" applyBorder="1" applyAlignment="1">
      <alignment horizontal="center" vertical="center" wrapText="1"/>
    </xf>
    <xf numFmtId="0" fontId="57" fillId="0" borderId="30" xfId="0" applyFont="1" applyBorder="1" applyAlignment="1">
      <alignment horizontal="center" vertical="center" wrapText="1"/>
    </xf>
    <xf numFmtId="0" fontId="57" fillId="0" borderId="33" xfId="0" applyFont="1" applyBorder="1" applyAlignment="1">
      <alignment horizontal="center" vertical="center" wrapText="1"/>
    </xf>
    <xf numFmtId="0" fontId="57" fillId="0" borderId="51" xfId="0" applyFont="1" applyBorder="1" applyAlignment="1">
      <alignment horizontal="center" vertical="center" wrapText="1"/>
    </xf>
    <xf numFmtId="0" fontId="57" fillId="0" borderId="54" xfId="0" applyFont="1" applyBorder="1" applyAlignment="1">
      <alignment horizontal="center" vertical="center" wrapText="1"/>
    </xf>
    <xf numFmtId="168" fontId="146" fillId="0" borderId="36" xfId="0" applyNumberFormat="1" applyFont="1" applyFill="1" applyBorder="1" applyAlignment="1">
      <alignment horizontal="right" vertical="center" wrapText="1"/>
    </xf>
    <xf numFmtId="168" fontId="146" fillId="0" borderId="70" xfId="0" applyNumberFormat="1" applyFont="1" applyFill="1" applyBorder="1" applyAlignment="1">
      <alignment horizontal="right" vertical="center" wrapText="1"/>
    </xf>
    <xf numFmtId="164" fontId="57" fillId="0" borderId="70" xfId="0" applyNumberFormat="1" applyFont="1" applyBorder="1" applyAlignment="1">
      <alignment horizontal="left" vertical="center" wrapText="1"/>
    </xf>
    <xf numFmtId="164" fontId="57" fillId="0" borderId="34" xfId="0" applyNumberFormat="1" applyFont="1" applyBorder="1" applyAlignment="1">
      <alignment horizontal="left" vertical="center" wrapText="1"/>
    </xf>
    <xf numFmtId="168" fontId="57" fillId="0" borderId="32" xfId="0" applyNumberFormat="1" applyFont="1" applyBorder="1" applyAlignment="1">
      <alignment horizontal="right" vertical="center" wrapText="1"/>
    </xf>
    <xf numFmtId="164" fontId="57" fillId="0" borderId="0" xfId="0" applyNumberFormat="1" applyFont="1" applyBorder="1" applyAlignment="1">
      <alignment horizontal="left" vertical="center" wrapText="1"/>
    </xf>
    <xf numFmtId="164" fontId="57" fillId="0" borderId="36" xfId="0" applyNumberFormat="1" applyFont="1" applyBorder="1" applyAlignment="1">
      <alignment horizontal="left" vertical="center" wrapText="1"/>
    </xf>
    <xf numFmtId="164" fontId="57" fillId="0" borderId="27" xfId="0" applyNumberFormat="1" applyFont="1" applyBorder="1" applyAlignment="1">
      <alignment horizontal="left" vertical="center" wrapText="1" indent="1"/>
    </xf>
    <xf numFmtId="164" fontId="57" fillId="0" borderId="21" xfId="0" applyNumberFormat="1" applyFont="1" applyBorder="1" applyAlignment="1">
      <alignment horizontal="left" vertical="center" wrapText="1" indent="1"/>
    </xf>
    <xf numFmtId="164" fontId="57" fillId="0" borderId="76" xfId="0" applyNumberFormat="1" applyFont="1" applyBorder="1" applyAlignment="1">
      <alignment horizontal="left" vertical="center" wrapText="1" indent="1"/>
    </xf>
    <xf numFmtId="164" fontId="57" fillId="0" borderId="31" xfId="0" applyNumberFormat="1" applyFont="1" applyBorder="1" applyAlignment="1">
      <alignment horizontal="left" vertical="center" wrapText="1" indent="1"/>
    </xf>
    <xf numFmtId="168" fontId="57" fillId="0" borderId="100" xfId="0" applyNumberFormat="1" applyFont="1" applyBorder="1" applyAlignment="1">
      <alignment horizontal="right" vertical="center" wrapText="1"/>
    </xf>
    <xf numFmtId="168" fontId="57" fillId="0" borderId="34" xfId="0" applyNumberFormat="1" applyFont="1" applyBorder="1" applyAlignment="1">
      <alignment horizontal="right" vertical="center" wrapText="1"/>
    </xf>
    <xf numFmtId="168" fontId="57" fillId="0" borderId="99" xfId="0" applyNumberFormat="1" applyFont="1" applyBorder="1" applyAlignment="1">
      <alignment horizontal="right" vertical="center" wrapText="1"/>
    </xf>
    <xf numFmtId="168" fontId="57" fillId="0" borderId="71" xfId="0" applyNumberFormat="1" applyFont="1" applyBorder="1" applyAlignment="1">
      <alignment horizontal="right" vertical="center" wrapText="1"/>
    </xf>
    <xf numFmtId="164" fontId="57" fillId="0" borderId="19" xfId="0" applyNumberFormat="1" applyFont="1" applyBorder="1" applyAlignment="1">
      <alignment horizontal="center" vertical="center" wrapText="1"/>
    </xf>
    <xf numFmtId="164" fontId="146" fillId="0" borderId="36" xfId="0" applyNumberFormat="1" applyFont="1" applyFill="1" applyBorder="1" applyAlignment="1">
      <alignment horizontal="center" vertical="center" wrapText="1"/>
    </xf>
    <xf numFmtId="164" fontId="146" fillId="0" borderId="70" xfId="0" applyNumberFormat="1" applyFont="1" applyFill="1" applyBorder="1" applyAlignment="1">
      <alignment horizontal="center" vertical="center" wrapText="1"/>
    </xf>
    <xf numFmtId="0" fontId="57" fillId="0" borderId="90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78" xfId="0" applyFont="1" applyBorder="1" applyAlignment="1">
      <alignment horizontal="center" vertical="center" wrapText="1"/>
    </xf>
    <xf numFmtId="0" fontId="57" fillId="0" borderId="79" xfId="0" applyFont="1" applyBorder="1" applyAlignment="1">
      <alignment horizontal="center" vertical="center" wrapText="1"/>
    </xf>
    <xf numFmtId="0" fontId="57" fillId="0" borderId="57" xfId="0" applyFont="1" applyBorder="1" applyAlignment="1">
      <alignment horizontal="left" vertical="center" wrapText="1"/>
    </xf>
    <xf numFmtId="0" fontId="57" fillId="0" borderId="20" xfId="0" applyFont="1" applyBorder="1" applyAlignment="1">
      <alignment horizontal="left" vertical="center" wrapText="1"/>
    </xf>
    <xf numFmtId="0" fontId="93" fillId="0" borderId="56" xfId="331" applyFont="1" applyBorder="1" applyAlignment="1" applyProtection="1">
      <alignment horizontal="left" vertical="center" wrapText="1"/>
      <protection locked="0"/>
    </xf>
    <xf numFmtId="0" fontId="93" fillId="0" borderId="37" xfId="331" applyFont="1" applyBorder="1" applyAlignment="1" applyProtection="1">
      <alignment horizontal="left" vertical="center" wrapText="1"/>
      <protection locked="0"/>
    </xf>
    <xf numFmtId="168" fontId="57" fillId="0" borderId="37" xfId="0" applyNumberFormat="1" applyFont="1" applyBorder="1" applyAlignment="1">
      <alignment horizontal="right" vertical="center" wrapText="1"/>
    </xf>
    <xf numFmtId="168" fontId="57" fillId="0" borderId="38" xfId="0" applyNumberFormat="1" applyFont="1" applyFill="1" applyBorder="1" applyAlignment="1">
      <alignment horizontal="right" vertical="center" wrapText="1"/>
    </xf>
    <xf numFmtId="168" fontId="57" fillId="0" borderId="51" xfId="0" applyNumberFormat="1" applyFont="1" applyFill="1" applyBorder="1" applyAlignment="1">
      <alignment horizontal="right" vertical="center" wrapText="1"/>
    </xf>
    <xf numFmtId="0" fontId="93" fillId="0" borderId="61" xfId="331" applyFont="1" applyBorder="1" applyAlignment="1" applyProtection="1">
      <alignment horizontal="left" vertical="center" wrapText="1"/>
      <protection locked="0"/>
    </xf>
    <xf numFmtId="0" fontId="93" fillId="0" borderId="30" xfId="331" applyFont="1" applyBorder="1" applyAlignment="1" applyProtection="1">
      <alignment horizontal="left" vertical="center" wrapText="1"/>
      <protection locked="0"/>
    </xf>
    <xf numFmtId="168" fontId="57" fillId="0" borderId="30" xfId="0" applyNumberFormat="1" applyFont="1" applyBorder="1" applyAlignment="1">
      <alignment horizontal="right" vertical="center" wrapText="1"/>
    </xf>
    <xf numFmtId="168" fontId="57" fillId="0" borderId="31" xfId="0" applyNumberFormat="1" applyFont="1" applyFill="1" applyBorder="1" applyAlignment="1">
      <alignment horizontal="right" vertical="center" wrapText="1"/>
    </xf>
    <xf numFmtId="168" fontId="57" fillId="0" borderId="54" xfId="0" applyNumberFormat="1" applyFont="1" applyFill="1" applyBorder="1" applyAlignment="1">
      <alignment horizontal="right" vertical="center" wrapText="1"/>
    </xf>
    <xf numFmtId="0" fontId="57" fillId="0" borderId="17" xfId="0" applyFont="1" applyBorder="1" applyAlignment="1">
      <alignment horizontal="center" vertical="center"/>
    </xf>
    <xf numFmtId="0" fontId="57" fillId="0" borderId="48" xfId="0" applyFont="1" applyBorder="1" applyAlignment="1">
      <alignment horizontal="center" vertical="center"/>
    </xf>
    <xf numFmtId="164" fontId="57" fillId="0" borderId="18" xfId="0" applyNumberFormat="1" applyFont="1" applyFill="1" applyBorder="1" applyAlignment="1">
      <alignment horizontal="center" vertical="center" wrapText="1"/>
    </xf>
    <xf numFmtId="164" fontId="57" fillId="0" borderId="42" xfId="0" applyNumberFormat="1" applyFont="1" applyFill="1" applyBorder="1" applyAlignment="1">
      <alignment horizontal="center" vertical="center" wrapText="1"/>
    </xf>
    <xf numFmtId="0" fontId="93" fillId="0" borderId="20" xfId="331" applyFont="1" applyBorder="1" applyAlignment="1" applyProtection="1">
      <alignment horizontal="left" vertical="center" wrapText="1"/>
      <protection locked="0"/>
    </xf>
    <xf numFmtId="0" fontId="93" fillId="0" borderId="50" xfId="331" applyFont="1" applyBorder="1" applyAlignment="1" applyProtection="1">
      <alignment horizontal="left" vertical="center" wrapText="1"/>
      <protection locked="0"/>
    </xf>
    <xf numFmtId="168" fontId="57" fillId="0" borderId="50" xfId="0" applyNumberFormat="1" applyFont="1" applyBorder="1" applyAlignment="1">
      <alignment horizontal="right" vertical="center" wrapText="1"/>
    </xf>
    <xf numFmtId="168" fontId="57" fillId="0" borderId="21" xfId="0" applyNumberFormat="1" applyFont="1" applyFill="1" applyBorder="1" applyAlignment="1">
      <alignment horizontal="right" vertical="center" wrapText="1"/>
    </xf>
    <xf numFmtId="168" fontId="57" fillId="0" borderId="60" xfId="0" applyNumberFormat="1" applyFont="1" applyFill="1" applyBorder="1" applyAlignment="1">
      <alignment horizontal="right" vertical="center" wrapText="1"/>
    </xf>
    <xf numFmtId="3" fontId="93" fillId="0" borderId="92" xfId="0" applyNumberFormat="1" applyFont="1" applyBorder="1" applyAlignment="1">
      <alignment horizontal="left" vertical="center" wrapText="1"/>
    </xf>
    <xf numFmtId="3" fontId="93" fillId="0" borderId="27" xfId="0" applyNumberFormat="1" applyFont="1" applyBorder="1" applyAlignment="1">
      <alignment horizontal="left" vertical="center" wrapText="1"/>
    </xf>
    <xf numFmtId="0" fontId="93" fillId="0" borderId="92" xfId="0" applyFont="1" applyBorder="1" applyAlignment="1">
      <alignment horizontal="left" vertical="center" wrapText="1"/>
    </xf>
    <xf numFmtId="0" fontId="93" fillId="0" borderId="73" xfId="0" applyFont="1" applyBorder="1" applyAlignment="1">
      <alignment horizontal="left" vertical="center" wrapText="1"/>
    </xf>
    <xf numFmtId="0" fontId="57" fillId="0" borderId="72" xfId="0" applyFont="1" applyBorder="1" applyAlignment="1">
      <alignment horizontal="left" vertical="center" wrapText="1"/>
    </xf>
    <xf numFmtId="0" fontId="57" fillId="0" borderId="27" xfId="0" applyFont="1" applyBorder="1" applyAlignment="1">
      <alignment horizontal="left" vertical="center" wrapText="1"/>
    </xf>
    <xf numFmtId="0" fontId="88" fillId="0" borderId="0" xfId="0" applyFont="1" applyAlignment="1">
      <alignment horizontal="center" vertical="center"/>
    </xf>
    <xf numFmtId="164" fontId="159" fillId="41" borderId="30" xfId="0" applyNumberFormat="1" applyFont="1" applyFill="1" applyBorder="1" applyAlignment="1">
      <alignment horizontal="center" vertical="center" wrapText="1"/>
    </xf>
    <xf numFmtId="164" fontId="57" fillId="0" borderId="64" xfId="0" applyNumberFormat="1" applyFont="1" applyBorder="1" applyAlignment="1" applyProtection="1">
      <alignment horizontal="center" vertical="top" wrapText="1"/>
      <protection locked="0"/>
    </xf>
    <xf numFmtId="164" fontId="57" fillId="0" borderId="53" xfId="0" applyNumberFormat="1" applyFont="1" applyBorder="1" applyAlignment="1" applyProtection="1">
      <alignment horizontal="center" vertical="top" wrapText="1"/>
      <protection locked="0"/>
    </xf>
    <xf numFmtId="164" fontId="57" fillId="0" borderId="66" xfId="0" applyNumberFormat="1" applyFont="1" applyBorder="1" applyAlignment="1" applyProtection="1">
      <alignment horizontal="center" vertical="top" wrapText="1"/>
      <protection locked="0"/>
    </xf>
    <xf numFmtId="164" fontId="57" fillId="0" borderId="59" xfId="0" applyNumberFormat="1" applyFont="1" applyBorder="1" applyAlignment="1" applyProtection="1">
      <alignment horizontal="center" vertical="top" wrapText="1"/>
      <protection locked="0"/>
    </xf>
    <xf numFmtId="167" fontId="124" fillId="0" borderId="0" xfId="302" applyNumberFormat="1" applyFont="1" applyAlignment="1" applyProtection="1">
      <alignment horizontal="left" vertical="center" wrapText="1"/>
      <protection locked="0"/>
    </xf>
    <xf numFmtId="0" fontId="119" fillId="0" borderId="40" xfId="302" applyFont="1" applyBorder="1" applyAlignment="1" applyProtection="1">
      <alignment horizontal="center"/>
      <protection locked="0"/>
    </xf>
    <xf numFmtId="167" fontId="119" fillId="0" borderId="80" xfId="302" applyNumberFormat="1" applyFont="1" applyBorder="1" applyAlignment="1" applyProtection="1">
      <alignment horizontal="center" vertical="center"/>
      <protection locked="0"/>
    </xf>
    <xf numFmtId="0" fontId="117" fillId="0" borderId="40" xfId="302" applyFont="1" applyBorder="1" applyAlignment="1" applyProtection="1">
      <alignment horizontal="left" vertical="center"/>
      <protection locked="0"/>
    </xf>
    <xf numFmtId="0" fontId="119" fillId="0" borderId="80" xfId="302" applyFont="1" applyBorder="1" applyAlignment="1" applyProtection="1">
      <alignment horizontal="center" vertical="center"/>
      <protection locked="0"/>
    </xf>
    <xf numFmtId="167" fontId="118" fillId="0" borderId="0" xfId="302" applyNumberFormat="1" applyFont="1" applyBorder="1" applyAlignment="1" applyProtection="1">
      <alignment horizontal="center" vertical="center"/>
      <protection locked="0"/>
    </xf>
    <xf numFmtId="164" fontId="57" fillId="0" borderId="23" xfId="0" applyNumberFormat="1" applyFont="1" applyBorder="1" applyAlignment="1">
      <alignment horizontal="left" vertical="center" wrapText="1"/>
    </xf>
    <xf numFmtId="164" fontId="57" fillId="0" borderId="53" xfId="0" applyNumberFormat="1" applyFont="1" applyBorder="1" applyAlignment="1">
      <alignment horizontal="left" vertical="center" wrapText="1"/>
    </xf>
    <xf numFmtId="168" fontId="5" fillId="0" borderId="60" xfId="302" applyNumberFormat="1" applyFont="1" applyBorder="1" applyAlignment="1" applyProtection="1">
      <alignment horizontal="right" vertical="center" wrapText="1"/>
      <protection locked="0"/>
    </xf>
    <xf numFmtId="49" fontId="55" fillId="0" borderId="44" xfId="302" applyNumberFormat="1" applyFont="1" applyBorder="1" applyAlignment="1" applyProtection="1">
      <alignment horizontal="center" vertical="center" wrapText="1"/>
      <protection locked="0"/>
    </xf>
    <xf numFmtId="49" fontId="55" fillId="0" borderId="45" xfId="302" applyNumberFormat="1" applyFont="1" applyBorder="1" applyAlignment="1" applyProtection="1">
      <alignment horizontal="center" vertical="center" wrapText="1"/>
      <protection locked="0"/>
    </xf>
    <xf numFmtId="49" fontId="55" fillId="0" borderId="33" xfId="302" applyNumberFormat="1" applyFont="1" applyBorder="1" applyAlignment="1" applyProtection="1">
      <alignment horizontal="center" vertical="center" wrapText="1"/>
      <protection locked="0"/>
    </xf>
    <xf numFmtId="168" fontId="5" fillId="0" borderId="39" xfId="302" applyNumberFormat="1" applyFont="1" applyBorder="1" applyAlignment="1" applyProtection="1">
      <alignment horizontal="center" vertical="center" wrapText="1"/>
      <protection locked="0"/>
    </xf>
    <xf numFmtId="164" fontId="5" fillId="0" borderId="36" xfId="302" applyNumberFormat="1" applyFont="1" applyBorder="1" applyAlignment="1" applyProtection="1">
      <alignment vertical="center" wrapText="1"/>
      <protection locked="0"/>
    </xf>
    <xf numFmtId="168" fontId="5" fillId="0" borderId="54" xfId="302" applyNumberFormat="1" applyFont="1" applyBorder="1" applyAlignment="1" applyProtection="1">
      <alignment horizontal="right" vertical="center" wrapText="1"/>
      <protection locked="0"/>
    </xf>
    <xf numFmtId="168" fontId="5" fillId="0" borderId="39" xfId="302" applyNumberFormat="1" applyFont="1" applyBorder="1" applyAlignment="1" applyProtection="1">
      <alignment horizontal="right" vertical="center" wrapText="1"/>
      <protection locked="0"/>
    </xf>
    <xf numFmtId="168" fontId="5" fillId="0" borderId="51" xfId="302" applyNumberFormat="1" applyFont="1" applyBorder="1" applyAlignment="1" applyProtection="1">
      <alignment horizontal="center" vertical="center" wrapText="1"/>
      <protection locked="0"/>
    </xf>
    <xf numFmtId="168" fontId="5" fillId="0" borderId="60" xfId="302" applyNumberFormat="1" applyFont="1" applyFill="1" applyBorder="1" applyAlignment="1" applyProtection="1">
      <alignment horizontal="right" vertical="center" wrapText="1"/>
      <protection locked="0"/>
    </xf>
    <xf numFmtId="0" fontId="51" fillId="0" borderId="40" xfId="303" applyFont="1" applyBorder="1" applyAlignment="1" applyProtection="1">
      <alignment vertical="center" wrapText="1"/>
      <protection locked="0"/>
    </xf>
  </cellXfs>
  <cellStyles count="347">
    <cellStyle name="_13 СлавСПбНП Платежный бюджет_06" xfId="1"/>
    <cellStyle name="_1A15C5E" xfId="2"/>
    <cellStyle name="_БИЗНЕС-ПЛАН 2004 ГОД 2 вариант" xfId="3"/>
    <cellStyle name="_БИЗНЕС-ПЛАН 2004 год 3 вар" xfId="4"/>
    <cellStyle name="_БП_КНП- 2004 по формам Сибнефти от 18.09.2003" xfId="5"/>
    <cellStyle name="_Бюджет 2,3,4,5,7,8,9, налоги, акцизы на 01_2004 от 17-25_12_03 " xfId="6"/>
    <cellStyle name="_Бюджет 2,3,4,5,7,8,9, налоги, акцизы на 01_2004 от 17-25_12_03  2" xfId="7"/>
    <cellStyle name="_Бюджет 2,3,4,5,7,8,9, налоги, акцизы на 01_2004 от 17-25_12_03  2_Формы сбора ОКО  v.5 2009_07_27" xfId="8"/>
    <cellStyle name="_Бюджет 2,3,4,5,7,8,9, налоги, акцизы на 01_2004 от 17-25_12_03  2_Формы сбора ОКО  v.5 2009_08_28 - часть 1" xfId="9"/>
    <cellStyle name="_Бюджет 2,3,4,5,7,8,9, налоги, акцизы на 01_2004 от 17-25_12_03 _Реестр форм ОКО Приоритет рассмотрения эскизов v.4 2009_07_13" xfId="10"/>
    <cellStyle name="_Бюджет 2,3,4,5,7,8,9, налоги, акцизы на 01_2004 от 17-25_12_03 _Формы сбора ОКО  v.5 2009_07_27" xfId="11"/>
    <cellStyle name="_Бюджет 2,3,4,5,7,8,9, налоги, акцизы на 01_2004 от 17-25_12_03 _Формы сбора ОКО  v.5 2009_08_28 - часть 1" xfId="12"/>
    <cellStyle name="_ДИТАТ ОС АРЕНДА СВОД 2005 пром  16 06 05 для ННГ" xfId="13"/>
    <cellStyle name="_ДИТАТ ОС АРЕНДА СВОД 2005 пром. 14.06.05 для ННГ" xfId="14"/>
    <cellStyle name="_ИТАТ-2003-10 (вар.2)" xfId="15"/>
    <cellStyle name="_лимит по рабочим" xfId="16"/>
    <cellStyle name="_ОТЭ" xfId="17"/>
    <cellStyle name="_Платежный бюджет БП_2006." xfId="18"/>
    <cellStyle name="_Прилож - ООО  ЗН" xfId="19"/>
    <cellStyle name="_Прилож 1 ОАО Сибнефть - Ноябрьскнефтегаз от 14.06" xfId="20"/>
    <cellStyle name="_Программа на 2005г по направлениям -  от 10 06 05" xfId="21"/>
    <cellStyle name="_САС-БП 2004 г (2вариант)" xfId="22"/>
    <cellStyle name="_САС-БП 2004 г (2вариант) ЮКОС" xfId="23"/>
    <cellStyle name="_Формы БП_ Юкос (послед)" xfId="24"/>
    <cellStyle name="_шаблон к письму нк 03-8777" xfId="25"/>
    <cellStyle name="0,00;0;" xfId="26"/>
    <cellStyle name="20% - Акцент1 2" xfId="27"/>
    <cellStyle name="20% - Акцент1 2 2" xfId="28"/>
    <cellStyle name="20% - Акцент1 2 3" xfId="29"/>
    <cellStyle name="20% - Акцент1 2 4" xfId="30"/>
    <cellStyle name="20% - Акцент2 2" xfId="31"/>
    <cellStyle name="20% - Акцент2 2 2" xfId="32"/>
    <cellStyle name="20% - Акцент2 2 3" xfId="33"/>
    <cellStyle name="20% - Акцент2 2 4" xfId="34"/>
    <cellStyle name="20% - Акцент3 2" xfId="35"/>
    <cellStyle name="20% - Акцент3 2 2" xfId="36"/>
    <cellStyle name="20% - Акцент3 2 3" xfId="37"/>
    <cellStyle name="20% - Акцент3 2 4" xfId="38"/>
    <cellStyle name="20% - Акцент4 2" xfId="39"/>
    <cellStyle name="20% - Акцент4 2 2" xfId="40"/>
    <cellStyle name="20% - Акцент4 2 3" xfId="41"/>
    <cellStyle name="20% - Акцент4 2 4" xfId="42"/>
    <cellStyle name="20% - Акцент5 2" xfId="43"/>
    <cellStyle name="20% - Акцент5 2 2" xfId="44"/>
    <cellStyle name="20% - Акцент5 2 3" xfId="45"/>
    <cellStyle name="20% - Акцент5 2 4" xfId="46"/>
    <cellStyle name="20% - Акцент6 2" xfId="47"/>
    <cellStyle name="20% - Акцент6 2 2" xfId="48"/>
    <cellStyle name="20% - Акцент6 2 3" xfId="49"/>
    <cellStyle name="20% - Акцент6 2 4" xfId="50"/>
    <cellStyle name="40% - Акцент1 2" xfId="51"/>
    <cellStyle name="40% - Акцент1 2 2" xfId="52"/>
    <cellStyle name="40% - Акцент1 2 3" xfId="53"/>
    <cellStyle name="40% - Акцент1 2 4" xfId="54"/>
    <cellStyle name="40% - Акцент2 2" xfId="55"/>
    <cellStyle name="40% - Акцент2 2 2" xfId="56"/>
    <cellStyle name="40% - Акцент2 2 3" xfId="57"/>
    <cellStyle name="40% - Акцент2 2 4" xfId="58"/>
    <cellStyle name="40% - Акцент3 2" xfId="59"/>
    <cellStyle name="40% - Акцент3 2 2" xfId="60"/>
    <cellStyle name="40% - Акцент3 2 3" xfId="61"/>
    <cellStyle name="40% - Акцент3 2 4" xfId="62"/>
    <cellStyle name="40% - Акцент4 2" xfId="63"/>
    <cellStyle name="40% - Акцент4 2 2" xfId="64"/>
    <cellStyle name="40% - Акцент4 2 3" xfId="65"/>
    <cellStyle name="40% - Акцент4 2 4" xfId="66"/>
    <cellStyle name="40% - Акцент5 2" xfId="67"/>
    <cellStyle name="40% - Акцент5 2 2" xfId="68"/>
    <cellStyle name="40% - Акцент5 2 3" xfId="69"/>
    <cellStyle name="40% - Акцент5 2 4" xfId="70"/>
    <cellStyle name="40% - Акцент6 2" xfId="71"/>
    <cellStyle name="40% - Акцент6 2 2" xfId="72"/>
    <cellStyle name="40% - Акцент6 2 3" xfId="73"/>
    <cellStyle name="40% - Акцент6 2 4" xfId="74"/>
    <cellStyle name="60% - Акцент1 2" xfId="75"/>
    <cellStyle name="60% - Акцент1 2 2" xfId="76"/>
    <cellStyle name="60% - Акцент1 2 3" xfId="77"/>
    <cellStyle name="60% - Акцент1 2 4" xfId="78"/>
    <cellStyle name="60% - Акцент2 2" xfId="79"/>
    <cellStyle name="60% - Акцент2 2 2" xfId="80"/>
    <cellStyle name="60% - Акцент2 2 3" xfId="81"/>
    <cellStyle name="60% - Акцент2 2 4" xfId="82"/>
    <cellStyle name="60% - Акцент3 2" xfId="83"/>
    <cellStyle name="60% - Акцент3 2 2" xfId="84"/>
    <cellStyle name="60% - Акцент3 2 3" xfId="85"/>
    <cellStyle name="60% - Акцент3 2 4" xfId="86"/>
    <cellStyle name="60% - Акцент4 2" xfId="87"/>
    <cellStyle name="60% - Акцент4 2 2" xfId="88"/>
    <cellStyle name="60% - Акцент4 2 3" xfId="89"/>
    <cellStyle name="60% - Акцент4 2 4" xfId="90"/>
    <cellStyle name="60% - Акцент5 2" xfId="91"/>
    <cellStyle name="60% - Акцент5 2 2" xfId="92"/>
    <cellStyle name="60% - Акцент5 2 3" xfId="93"/>
    <cellStyle name="60% - Акцент5 2 4" xfId="94"/>
    <cellStyle name="60% - Акцент6 2" xfId="95"/>
    <cellStyle name="60% - Акцент6 2 2" xfId="96"/>
    <cellStyle name="60% - Акцент6 2 3" xfId="97"/>
    <cellStyle name="60% - Акцент6 2 4" xfId="98"/>
    <cellStyle name="Accent1" xfId="99"/>
    <cellStyle name="Accent1 - 20%" xfId="100"/>
    <cellStyle name="Accent1 - 40%" xfId="101"/>
    <cellStyle name="Accent1 - 60%" xfId="102"/>
    <cellStyle name="Accent2" xfId="103"/>
    <cellStyle name="Accent2 - 20%" xfId="104"/>
    <cellStyle name="Accent2 - 40%" xfId="105"/>
    <cellStyle name="Accent2 - 60%" xfId="106"/>
    <cellStyle name="Accent3" xfId="107"/>
    <cellStyle name="Accent3 - 20%" xfId="108"/>
    <cellStyle name="Accent3 - 40%" xfId="109"/>
    <cellStyle name="Accent3 - 60%" xfId="110"/>
    <cellStyle name="Accent4" xfId="111"/>
    <cellStyle name="Accent4 - 20%" xfId="112"/>
    <cellStyle name="Accent4 - 40%" xfId="113"/>
    <cellStyle name="Accent4 - 60%" xfId="114"/>
    <cellStyle name="Accent5" xfId="115"/>
    <cellStyle name="Accent5 - 20%" xfId="116"/>
    <cellStyle name="Accent5 - 40%" xfId="117"/>
    <cellStyle name="Accent5 - 60%" xfId="118"/>
    <cellStyle name="Accent6" xfId="119"/>
    <cellStyle name="Accent6 - 20%" xfId="120"/>
    <cellStyle name="Accent6 - 40%" xfId="121"/>
    <cellStyle name="Accent6 - 60%" xfId="122"/>
    <cellStyle name="Bad" xfId="123"/>
    <cellStyle name="Calculation" xfId="124"/>
    <cellStyle name="Check Cell" xfId="125"/>
    <cellStyle name="Emphasis 1" xfId="126"/>
    <cellStyle name="Emphasis 2" xfId="127"/>
    <cellStyle name="Emphasis 3" xfId="128"/>
    <cellStyle name="Good" xfId="129"/>
    <cellStyle name="Heading 1" xfId="130"/>
    <cellStyle name="Heading 2" xfId="131"/>
    <cellStyle name="Heading 3" xfId="132"/>
    <cellStyle name="Heading 4" xfId="133"/>
    <cellStyle name="Iau?iue_o10-n" xfId="134"/>
    <cellStyle name="Input" xfId="135"/>
    <cellStyle name="Linked Cell" xfId="136"/>
    <cellStyle name="Neutral" xfId="137"/>
    <cellStyle name="Normal_09_5_12M" xfId="138"/>
    <cellStyle name="normбlnм_laroux" xfId="139"/>
    <cellStyle name="Note" xfId="140"/>
    <cellStyle name="Note 2" xfId="141"/>
    <cellStyle name="Output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ilterText" xfId="159"/>
    <cellStyle name="SAPBEXformats" xfId="160"/>
    <cellStyle name="SAPBEXheaderItem" xfId="161"/>
    <cellStyle name="SAPBEXheaderText" xfId="162"/>
    <cellStyle name="SAPBEXHLevel0" xfId="163"/>
    <cellStyle name="SAPBEXHLevel0X" xfId="164"/>
    <cellStyle name="SAPBEXHLevel0X 2" xfId="165"/>
    <cellStyle name="SAPBEXHLevel1" xfId="166"/>
    <cellStyle name="SAPBEXHLevel1X" xfId="167"/>
    <cellStyle name="SAPBEXHLevel1X 2" xfId="168"/>
    <cellStyle name="SAPBEXHLevel2" xfId="169"/>
    <cellStyle name="SAPBEXHLevel2X" xfId="170"/>
    <cellStyle name="SAPBEXHLevel2X 2" xfId="171"/>
    <cellStyle name="SAPBEXHLevel3" xfId="172"/>
    <cellStyle name="SAPBEXHLevel3X" xfId="173"/>
    <cellStyle name="SAPBEXHLevel3X 2" xfId="174"/>
    <cellStyle name="SAPBEXinputData" xfId="175"/>
    <cellStyle name="SAPBEXinputData 2" xfId="176"/>
    <cellStyle name="SAPBEXItemHeader" xfId="177"/>
    <cellStyle name="SAPBEXresData" xfId="178"/>
    <cellStyle name="SAPBEXresDataEmph" xfId="179"/>
    <cellStyle name="SAPBEXresItem" xfId="180"/>
    <cellStyle name="SAPBEXresItemX" xfId="181"/>
    <cellStyle name="SAPBEXstdData" xfId="182"/>
    <cellStyle name="SAPBEXstdDataEmph" xfId="183"/>
    <cellStyle name="SAPBEXstdItem" xfId="184"/>
    <cellStyle name="SAPBEXstdItemX" xfId="185"/>
    <cellStyle name="SAPBEXtitle" xfId="186"/>
    <cellStyle name="SAPBEXunassignedItem" xfId="187"/>
    <cellStyle name="SAPBEXundefined" xfId="188"/>
    <cellStyle name="Sheet Title" xfId="189"/>
    <cellStyle name="Total" xfId="190"/>
    <cellStyle name="Warning Text" xfId="191"/>
    <cellStyle name="Акцент1 2" xfId="192"/>
    <cellStyle name="Акцент1 2 2" xfId="193"/>
    <cellStyle name="Акцент1 2 3" xfId="194"/>
    <cellStyle name="Акцент1 2 4" xfId="195"/>
    <cellStyle name="Акцент2 2" xfId="196"/>
    <cellStyle name="Акцент2 2 2" xfId="197"/>
    <cellStyle name="Акцент2 2 3" xfId="198"/>
    <cellStyle name="Акцент2 2 4" xfId="199"/>
    <cellStyle name="Акцент3 2" xfId="200"/>
    <cellStyle name="Акцент3 2 2" xfId="201"/>
    <cellStyle name="Акцент3 2 3" xfId="202"/>
    <cellStyle name="Акцент3 2 4" xfId="203"/>
    <cellStyle name="Акцент4 2" xfId="204"/>
    <cellStyle name="Акцент4 2 2" xfId="205"/>
    <cellStyle name="Акцент4 2 3" xfId="206"/>
    <cellStyle name="Акцент4 2 4" xfId="207"/>
    <cellStyle name="Акцент5 2" xfId="208"/>
    <cellStyle name="Акцент5 2 2" xfId="209"/>
    <cellStyle name="Акцент5 2 3" xfId="210"/>
    <cellStyle name="Акцент5 2 4" xfId="211"/>
    <cellStyle name="Акцент6 2" xfId="212"/>
    <cellStyle name="Акцент6 2 2" xfId="213"/>
    <cellStyle name="Акцент6 2 3" xfId="214"/>
    <cellStyle name="Акцент6 2 4" xfId="215"/>
    <cellStyle name="Ввод  2" xfId="216"/>
    <cellStyle name="Ввод  2 2" xfId="217"/>
    <cellStyle name="Ввод  2 3" xfId="218"/>
    <cellStyle name="Ввод  2 4" xfId="219"/>
    <cellStyle name="Вывод 2" xfId="220"/>
    <cellStyle name="Вывод 2 2" xfId="221"/>
    <cellStyle name="Вывод 2 3" xfId="222"/>
    <cellStyle name="Вывод 2 4" xfId="223"/>
    <cellStyle name="Вычисление 2" xfId="224"/>
    <cellStyle name="Вычисление 2 2" xfId="225"/>
    <cellStyle name="Вычисление 2 3" xfId="226"/>
    <cellStyle name="Вычисление 2 4" xfId="227"/>
    <cellStyle name="Гиперссылка" xfId="327" builtinId="8"/>
    <cellStyle name="Гиперссылка 2" xfId="228"/>
    <cellStyle name="Гиперссылка 3" xfId="229"/>
    <cellStyle name="Гиперссылка 35" xfId="230"/>
    <cellStyle name="Денежный 2" xfId="231"/>
    <cellStyle name="Денежный 2 2" xfId="326"/>
    <cellStyle name="Контрольная ячейка 2" xfId="232"/>
    <cellStyle name="Контрольная ячейка 2 2" xfId="233"/>
    <cellStyle name="Контрольная ячейка 2 3" xfId="234"/>
    <cellStyle name="Контрольная ячейка 2 4" xfId="235"/>
    <cellStyle name="Нейтральный 2" xfId="236"/>
    <cellStyle name="Нейтральный 2 2" xfId="237"/>
    <cellStyle name="Нейтральный 2 3" xfId="238"/>
    <cellStyle name="Нейтральный 2 4" xfId="239"/>
    <cellStyle name="Обычный" xfId="0" builtinId="0"/>
    <cellStyle name="Обычный 10" xfId="240"/>
    <cellStyle name="Обычный 2" xfId="241"/>
    <cellStyle name="Обычный 2 10" xfId="242"/>
    <cellStyle name="Обычный 2 10 2" xfId="334"/>
    <cellStyle name="Обычный 2 11" xfId="243"/>
    <cellStyle name="Обычный 2 2" xfId="244"/>
    <cellStyle name="Обычный 2 2 10" xfId="245"/>
    <cellStyle name="Обычный 2 2 2" xfId="246"/>
    <cellStyle name="Обычный 2 2 2 10" xfId="247"/>
    <cellStyle name="Обычный 2 2 2 10 2" xfId="248"/>
    <cellStyle name="Обычный 2 2 2 10 2 2" xfId="335"/>
    <cellStyle name="Обычный 2 2 2 2" xfId="249"/>
    <cellStyle name="Обычный 2 2 2 6" xfId="250"/>
    <cellStyle name="Обычный 2 2 2 6 2" xfId="336"/>
    <cellStyle name="Обычный 2 2 2 6_GODOTSCH_11-4" xfId="331"/>
    <cellStyle name="Обычный 2 2 2_Формы 66N_ФинВложения v.02" xfId="251"/>
    <cellStyle name="Обычный 2 2 3" xfId="252"/>
    <cellStyle name="Обычный 2 2 4" xfId="253"/>
    <cellStyle name="Обычный 2 2 4 2" xfId="254"/>
    <cellStyle name="Обычный 2 2 4 2 2" xfId="255"/>
    <cellStyle name="Обычный 2 2 4 2 2 2" xfId="256"/>
    <cellStyle name="Обычный 2 2 4 2 2 2 2" xfId="337"/>
    <cellStyle name="Обычный 2 2 4 2_Формы сбора ОКО - часть 2 ОПЭ" xfId="257"/>
    <cellStyle name="Обычный 2 3" xfId="258"/>
    <cellStyle name="Обычный 2 3 2" xfId="259"/>
    <cellStyle name="Обычный 2 3 2 2" xfId="260"/>
    <cellStyle name="Обычный 2 3 2 2 2" xfId="338"/>
    <cellStyle name="Обычный 2 3_Формы сбора ОКО - часть 2 ОПЭ" xfId="261"/>
    <cellStyle name="Обычный 2 3_Формы сбора ОКО - часть 2 ОПЭ 20110111" xfId="330"/>
    <cellStyle name="Обычный 2 4" xfId="262"/>
    <cellStyle name="Обычный 2 4 2" xfId="263"/>
    <cellStyle name="Обычный 2 4 2 2" xfId="264"/>
    <cellStyle name="Обычный 2 4 2 2 2" xfId="339"/>
    <cellStyle name="Обычный 2_Формы 66N_Запасы v.04" xfId="265"/>
    <cellStyle name="Обычный 3" xfId="266"/>
    <cellStyle name="Обычный 3 10" xfId="267"/>
    <cellStyle name="Обычный 3 10 2" xfId="268"/>
    <cellStyle name="Обычный 3 10 2 2" xfId="269"/>
    <cellStyle name="Обычный 3 10 2 2 2" xfId="340"/>
    <cellStyle name="Обычный 3 10 3" xfId="270"/>
    <cellStyle name="Обычный 3 10 3 2" xfId="341"/>
    <cellStyle name="Обычный 3 2" xfId="271"/>
    <cellStyle name="Обычный 3 2 2" xfId="272"/>
    <cellStyle name="Обычный 3 2 2 2" xfId="273"/>
    <cellStyle name="Обычный 3 2 2 2 2" xfId="342"/>
    <cellStyle name="Обычный 3 2_Формы сбора ОКО - часть 2 ОПЭ" xfId="274"/>
    <cellStyle name="Обычный 3 7" xfId="275"/>
    <cellStyle name="Обычный 3_Формы сбора ОКО - часть 2 ОПЭ 20110111" xfId="276"/>
    <cellStyle name="Обычный 35" xfId="277"/>
    <cellStyle name="Обычный 35 2" xfId="278"/>
    <cellStyle name="Обычный 36" xfId="279"/>
    <cellStyle name="Обычный 37" xfId="280"/>
    <cellStyle name="Обычный 37 2" xfId="281"/>
    <cellStyle name="Обычный 37 2 2" xfId="282"/>
    <cellStyle name="Обычный 37_Формы сбора ОКО - часть 2 ОПЭ" xfId="283"/>
    <cellStyle name="Обычный 4" xfId="284"/>
    <cellStyle name="Обычный 4 10" xfId="285"/>
    <cellStyle name="Обычный 4 14" xfId="286"/>
    <cellStyle name="Обычный 4 2" xfId="287"/>
    <cellStyle name="Обычный 4 3" xfId="288"/>
    <cellStyle name="Обычный 4 3 2" xfId="289"/>
    <cellStyle name="Обычный 4_N16_6" xfId="290"/>
    <cellStyle name="Обычный 5" xfId="291"/>
    <cellStyle name="Обычный 5 2" xfId="292"/>
    <cellStyle name="Обычный 5 2 2" xfId="343"/>
    <cellStyle name="Обычный 6" xfId="293"/>
    <cellStyle name="Обычный 7" xfId="294"/>
    <cellStyle name="Обычный 7 2" xfId="295"/>
    <cellStyle name="Обычный 7_N13_2" xfId="296"/>
    <cellStyle name="Обычный 8" xfId="328"/>
    <cellStyle name="Обычный 8 2" xfId="333"/>
    <cellStyle name="Обычный 8 2 2" xfId="345"/>
    <cellStyle name="Обычный 8 3" xfId="344"/>
    <cellStyle name="Обычный 9" xfId="297"/>
    <cellStyle name="Обычный 9 14" xfId="298"/>
    <cellStyle name="Обычный 9 2" xfId="299"/>
    <cellStyle name="Обычный 9_N16_6" xfId="300"/>
    <cellStyle name="Обычный_GODOTSCH" xfId="301"/>
    <cellStyle name="Обычный_GODOTSCH 2" xfId="302"/>
    <cellStyle name="Обычный_GODOTSCH_Книга111" xfId="329"/>
    <cellStyle name="Обычный_Справочники" xfId="332"/>
    <cellStyle name="Обычный_ФИАЛКИНА    Формы сбора ОКО - часть 1 ОПЭ 20110111" xfId="303"/>
    <cellStyle name="Плохой 2" xfId="304"/>
    <cellStyle name="Плохой 2 2" xfId="305"/>
    <cellStyle name="Плохой 2 3" xfId="306"/>
    <cellStyle name="Плохой 2 4" xfId="307"/>
    <cellStyle name="Примечание 2" xfId="308"/>
    <cellStyle name="Примечание 2 2" xfId="309"/>
    <cellStyle name="Примечание 2 3" xfId="310"/>
    <cellStyle name="Примечание 2 4" xfId="311"/>
    <cellStyle name="Стиль 1" xfId="312"/>
    <cellStyle name="Тысячи [0]_CIP write-off" xfId="313"/>
    <cellStyle name="Тысячи_CIP write-off" xfId="314"/>
    <cellStyle name="Финансовый" xfId="346" builtinId="3"/>
    <cellStyle name="Финансовый 2" xfId="315"/>
    <cellStyle name="Финансовый 2 2" xfId="316"/>
    <cellStyle name="Финансовый 2 3" xfId="317"/>
    <cellStyle name="Финансовый 2 4" xfId="318"/>
    <cellStyle name="Финансовый 2_Формы 66N_Запасы v.04" xfId="319"/>
    <cellStyle name="Финансовый 3" xfId="320"/>
    <cellStyle name="Финансовый 4" xfId="321"/>
    <cellStyle name="Хороший 2" xfId="322"/>
    <cellStyle name="Хороший 2 2" xfId="323"/>
    <cellStyle name="Хороший 2 3" xfId="324"/>
    <cellStyle name="Хороший 2 4" xfId="3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8</xdr:row>
      <xdr:rowOff>200025</xdr:rowOff>
    </xdr:from>
    <xdr:to>
      <xdr:col>1</xdr:col>
      <xdr:colOff>4194750</xdr:colOff>
      <xdr:row>8</xdr:row>
      <xdr:rowOff>200025</xdr:rowOff>
    </xdr:to>
    <xdr:cxnSp macro="">
      <xdr:nvCxnSpPr>
        <xdr:cNvPr id="3" name="Прямая соединительная линия 2"/>
        <xdr:cNvCxnSpPr/>
      </xdr:nvCxnSpPr>
      <xdr:spPr>
        <a:xfrm>
          <a:off x="1057275" y="1285875"/>
          <a:ext cx="352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4</xdr:row>
      <xdr:rowOff>200025</xdr:rowOff>
    </xdr:from>
    <xdr:to>
      <xdr:col>2</xdr:col>
      <xdr:colOff>1800</xdr:colOff>
      <xdr:row>4</xdr:row>
      <xdr:rowOff>200025</xdr:rowOff>
    </xdr:to>
    <xdr:cxnSp macro="">
      <xdr:nvCxnSpPr>
        <xdr:cNvPr id="4" name="Прямая соединительная линия 3"/>
        <xdr:cNvCxnSpPr/>
      </xdr:nvCxnSpPr>
      <xdr:spPr>
        <a:xfrm>
          <a:off x="704850" y="1076325"/>
          <a:ext cx="388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6</xdr:row>
      <xdr:rowOff>200025</xdr:rowOff>
    </xdr:from>
    <xdr:to>
      <xdr:col>1</xdr:col>
      <xdr:colOff>3347850</xdr:colOff>
      <xdr:row>6</xdr:row>
      <xdr:rowOff>200025</xdr:rowOff>
    </xdr:to>
    <xdr:cxnSp macro="">
      <xdr:nvCxnSpPr>
        <xdr:cNvPr id="2" name="Прямая соединительная линия 1"/>
        <xdr:cNvCxnSpPr/>
      </xdr:nvCxnSpPr>
      <xdr:spPr>
        <a:xfrm>
          <a:off x="723900" y="1314450"/>
          <a:ext cx="3024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10</xdr:row>
      <xdr:rowOff>200025</xdr:rowOff>
    </xdr:from>
    <xdr:to>
      <xdr:col>2</xdr:col>
      <xdr:colOff>4425</xdr:colOff>
      <xdr:row>10</xdr:row>
      <xdr:rowOff>200025</xdr:rowOff>
    </xdr:to>
    <xdr:cxnSp macro="">
      <xdr:nvCxnSpPr>
        <xdr:cNvPr id="4" name="Прямая соединительная линия 3"/>
        <xdr:cNvCxnSpPr/>
      </xdr:nvCxnSpPr>
      <xdr:spPr>
        <a:xfrm>
          <a:off x="1057275" y="1524000"/>
          <a:ext cx="2700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7</xdr:row>
      <xdr:rowOff>200025</xdr:rowOff>
    </xdr:from>
    <xdr:to>
      <xdr:col>5</xdr:col>
      <xdr:colOff>1950</xdr:colOff>
      <xdr:row>7</xdr:row>
      <xdr:rowOff>200025</xdr:rowOff>
    </xdr:to>
    <xdr:cxnSp macro="">
      <xdr:nvCxnSpPr>
        <xdr:cNvPr id="2" name="Прямая соединительная линия 1"/>
        <xdr:cNvCxnSpPr/>
      </xdr:nvCxnSpPr>
      <xdr:spPr>
        <a:xfrm>
          <a:off x="723900" y="1304925"/>
          <a:ext cx="4212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11</xdr:row>
      <xdr:rowOff>190500</xdr:rowOff>
    </xdr:from>
    <xdr:to>
      <xdr:col>4</xdr:col>
      <xdr:colOff>1337400</xdr:colOff>
      <xdr:row>11</xdr:row>
      <xdr:rowOff>190500</xdr:rowOff>
    </xdr:to>
    <xdr:cxnSp macro="">
      <xdr:nvCxnSpPr>
        <xdr:cNvPr id="3" name="Прямая соединительная линия 2"/>
        <xdr:cNvCxnSpPr/>
      </xdr:nvCxnSpPr>
      <xdr:spPr>
        <a:xfrm>
          <a:off x="1076325" y="1504950"/>
          <a:ext cx="3852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8</xdr:row>
      <xdr:rowOff>200025</xdr:rowOff>
    </xdr:from>
    <xdr:to>
      <xdr:col>2</xdr:col>
      <xdr:colOff>3750</xdr:colOff>
      <xdr:row>8</xdr:row>
      <xdr:rowOff>200025</xdr:rowOff>
    </xdr:to>
    <xdr:cxnSp macro="">
      <xdr:nvCxnSpPr>
        <xdr:cNvPr id="2" name="Прямая соединительная линия 1"/>
        <xdr:cNvCxnSpPr/>
      </xdr:nvCxnSpPr>
      <xdr:spPr>
        <a:xfrm>
          <a:off x="714375" y="1476375"/>
          <a:ext cx="352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12</xdr:row>
      <xdr:rowOff>200025</xdr:rowOff>
    </xdr:from>
    <xdr:to>
      <xdr:col>2</xdr:col>
      <xdr:colOff>5700</xdr:colOff>
      <xdr:row>12</xdr:row>
      <xdr:rowOff>200025</xdr:rowOff>
    </xdr:to>
    <xdr:cxnSp macro="">
      <xdr:nvCxnSpPr>
        <xdr:cNvPr id="3" name="Прямая соединительная линия 2"/>
        <xdr:cNvCxnSpPr/>
      </xdr:nvCxnSpPr>
      <xdr:spPr>
        <a:xfrm>
          <a:off x="1076325" y="1685925"/>
          <a:ext cx="316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0" tint="-0.499984740745262"/>
    <pageSetUpPr fitToPage="1"/>
  </sheetPr>
  <dimension ref="A1:C27"/>
  <sheetViews>
    <sheetView workbookViewId="0">
      <selection activeCell="B6" sqref="B6"/>
    </sheetView>
  </sheetViews>
  <sheetFormatPr defaultRowHeight="14.25"/>
  <cols>
    <col min="1" max="1" width="7.28515625" customWidth="1"/>
    <col min="2" max="2" width="34.28515625" style="223" bestFit="1" customWidth="1"/>
    <col min="3" max="3" width="111.28515625" style="220" bestFit="1" customWidth="1"/>
  </cols>
  <sheetData>
    <row r="1" spans="1:3" ht="15">
      <c r="B1" s="219"/>
    </row>
    <row r="2" spans="1:3" ht="15.75">
      <c r="A2" s="222" t="s">
        <v>732</v>
      </c>
      <c r="B2" s="221"/>
    </row>
    <row r="3" spans="1:3" ht="7.5" customHeight="1"/>
    <row r="4" spans="1:3" s="224" customFormat="1" ht="15.95" customHeight="1">
      <c r="A4" s="479" t="s">
        <v>733</v>
      </c>
      <c r="B4" s="482" t="s">
        <v>734</v>
      </c>
      <c r="C4" s="479" t="s">
        <v>735</v>
      </c>
    </row>
    <row r="5" spans="1:3" ht="15.95" customHeight="1">
      <c r="A5" s="480">
        <v>1</v>
      </c>
      <c r="B5" s="483" t="s">
        <v>736</v>
      </c>
      <c r="C5" s="484" t="s">
        <v>737</v>
      </c>
    </row>
    <row r="6" spans="1:3" ht="15.95" customHeight="1">
      <c r="A6" s="480">
        <v>2</v>
      </c>
      <c r="B6" s="487" t="s">
        <v>1164</v>
      </c>
      <c r="C6" s="484" t="s">
        <v>1164</v>
      </c>
    </row>
    <row r="7" spans="1:3" ht="15.95" customHeight="1">
      <c r="A7" s="480">
        <v>3</v>
      </c>
      <c r="B7" s="483" t="s">
        <v>738</v>
      </c>
      <c r="C7" s="484" t="s">
        <v>739</v>
      </c>
    </row>
    <row r="8" spans="1:3" ht="15.95" customHeight="1">
      <c r="A8" s="480">
        <v>4</v>
      </c>
      <c r="B8" s="483" t="s">
        <v>740</v>
      </c>
      <c r="C8" s="484" t="s">
        <v>141</v>
      </c>
    </row>
    <row r="9" spans="1:3" ht="15.95" customHeight="1">
      <c r="A9" s="480">
        <v>5</v>
      </c>
      <c r="B9" s="483" t="s">
        <v>741</v>
      </c>
      <c r="C9" s="484" t="s">
        <v>742</v>
      </c>
    </row>
    <row r="10" spans="1:3" ht="15.95" customHeight="1">
      <c r="A10" s="480">
        <v>6</v>
      </c>
      <c r="B10" s="483" t="s">
        <v>743</v>
      </c>
      <c r="C10" s="484" t="s">
        <v>744</v>
      </c>
    </row>
    <row r="11" spans="1:3" ht="15.95" hidden="1" customHeight="1">
      <c r="A11" s="480">
        <v>7</v>
      </c>
      <c r="B11" s="483" t="s">
        <v>745</v>
      </c>
      <c r="C11" s="484" t="s">
        <v>277</v>
      </c>
    </row>
    <row r="12" spans="1:3" ht="22.5" customHeight="1">
      <c r="A12" s="480"/>
      <c r="B12" s="485"/>
      <c r="C12" s="481" t="s">
        <v>746</v>
      </c>
    </row>
    <row r="13" spans="1:3" ht="15.95" customHeight="1">
      <c r="A13" s="480">
        <v>7</v>
      </c>
      <c r="B13" s="486" t="s">
        <v>815</v>
      </c>
      <c r="C13" s="484" t="s">
        <v>822</v>
      </c>
    </row>
    <row r="14" spans="1:3" ht="15.95" customHeight="1">
      <c r="A14" s="480">
        <v>8</v>
      </c>
      <c r="B14" s="486" t="s">
        <v>816</v>
      </c>
      <c r="C14" s="484" t="s">
        <v>823</v>
      </c>
    </row>
    <row r="15" spans="1:3" ht="15.95" customHeight="1">
      <c r="A15" s="480">
        <v>9</v>
      </c>
      <c r="B15" s="486" t="s">
        <v>817</v>
      </c>
      <c r="C15" s="484" t="s">
        <v>824</v>
      </c>
    </row>
    <row r="16" spans="1:3" ht="15.95" customHeight="1">
      <c r="A16" s="480">
        <v>10</v>
      </c>
      <c r="B16" s="486" t="s">
        <v>747</v>
      </c>
      <c r="C16" s="484" t="s">
        <v>748</v>
      </c>
    </row>
    <row r="17" spans="1:3" ht="15.95" customHeight="1">
      <c r="A17" s="480">
        <v>11</v>
      </c>
      <c r="B17" s="486" t="s">
        <v>818</v>
      </c>
      <c r="C17" s="484" t="s">
        <v>825</v>
      </c>
    </row>
    <row r="18" spans="1:3" ht="15.95" customHeight="1">
      <c r="A18" s="480">
        <v>12</v>
      </c>
      <c r="B18" s="486" t="s">
        <v>819</v>
      </c>
      <c r="C18" s="484" t="s">
        <v>826</v>
      </c>
    </row>
    <row r="19" spans="1:3" ht="15.95" customHeight="1">
      <c r="A19" s="480">
        <v>13</v>
      </c>
      <c r="B19" s="486" t="s">
        <v>749</v>
      </c>
      <c r="C19" s="484" t="s">
        <v>1029</v>
      </c>
    </row>
    <row r="20" spans="1:3" ht="15.95" customHeight="1">
      <c r="A20" s="480">
        <v>14</v>
      </c>
      <c r="B20" s="486" t="s">
        <v>750</v>
      </c>
      <c r="C20" s="484" t="s">
        <v>751</v>
      </c>
    </row>
    <row r="21" spans="1:3" ht="15.95" customHeight="1">
      <c r="A21" s="480">
        <v>15</v>
      </c>
      <c r="B21" s="486" t="s">
        <v>845</v>
      </c>
      <c r="C21" s="484" t="s">
        <v>1027</v>
      </c>
    </row>
    <row r="22" spans="1:3" ht="15.95" customHeight="1">
      <c r="A22" s="480">
        <v>16</v>
      </c>
      <c r="B22" s="486" t="s">
        <v>846</v>
      </c>
      <c r="C22" s="484" t="s">
        <v>847</v>
      </c>
    </row>
    <row r="23" spans="1:3" ht="15.95" customHeight="1">
      <c r="A23" s="480">
        <v>17</v>
      </c>
      <c r="B23" s="486" t="s">
        <v>820</v>
      </c>
      <c r="C23" s="484" t="s">
        <v>827</v>
      </c>
    </row>
    <row r="24" spans="1:3" ht="15.95" customHeight="1">
      <c r="A24" s="480">
        <v>18</v>
      </c>
      <c r="B24" s="532" t="s">
        <v>1030</v>
      </c>
      <c r="C24" s="484" t="s">
        <v>131</v>
      </c>
    </row>
    <row r="25" spans="1:3" ht="15.95" customHeight="1">
      <c r="A25" s="480">
        <v>19</v>
      </c>
      <c r="B25" s="532" t="s">
        <v>1031</v>
      </c>
      <c r="C25" s="484" t="s">
        <v>752</v>
      </c>
    </row>
    <row r="26" spans="1:3" ht="15.95" customHeight="1">
      <c r="A26" s="480">
        <v>20</v>
      </c>
      <c r="B26" s="532" t="s">
        <v>821</v>
      </c>
      <c r="C26" s="484" t="s">
        <v>828</v>
      </c>
    </row>
    <row r="27" spans="1:3" ht="15.95" customHeight="1">
      <c r="A27" s="480">
        <v>21</v>
      </c>
      <c r="B27" s="486" t="s">
        <v>162</v>
      </c>
      <c r="C27" s="484" t="s">
        <v>1142</v>
      </c>
    </row>
  </sheetData>
  <hyperlinks>
    <hyperlink ref="B5" location="'Общие сведения'!A1" display="Общие сведения"/>
    <hyperlink ref="B7" location="Баланс!A1" display="Баланс"/>
    <hyperlink ref="B8" location="'Финансовый результат'!A1" display="Финансовый результат"/>
    <hyperlink ref="B9" location="'Изменение капитала'!A1" display="Изменение капитала"/>
    <hyperlink ref="B10" location="'Движение денежных средств'!A1" display="Движение денежных средств"/>
    <hyperlink ref="B11" location="'Целевое использование'!A1" display="Целевое использование"/>
    <hyperlink ref="B27" location="Справочники!A1" display="Справочники"/>
    <hyperlink ref="B26" location="'5.8'!A1" display="5.8"/>
    <hyperlink ref="B25" location="'5.7'!A1" display="5.7"/>
    <hyperlink ref="B24" location="'5.6'!A1" display="5.6"/>
    <hyperlink ref="B23" location="'5.5'!A1" display="5.5"/>
    <hyperlink ref="B22" location="'5.4.1 5.4.2'!A1" display="5.4.1   5.4.2"/>
    <hyperlink ref="B21" location="'5.3.2'!A1" display="5.3.2 "/>
    <hyperlink ref="B19" location="'5.2.4'!A1" display="5.2.4"/>
    <hyperlink ref="B18" location="'5.2.3'!A1" display="5.2.3"/>
    <hyperlink ref="B17" location="'5.2.2'!A1" display="5.2.2"/>
    <hyperlink ref="B16" location="'5.2.1'!A1" display="5.2.1"/>
    <hyperlink ref="B15" location="'5.1.3'!A1" display="5.1.3"/>
    <hyperlink ref="B14" location="'5.1.2'!A1" display="5.1.2"/>
    <hyperlink ref="B13" location="'5.1.1'!A1" display="5.1.1"/>
    <hyperlink ref="B20" location="'5.3.1'!A1" display="5.3.1"/>
    <hyperlink ref="B6" location="'Заголовочная часть'!A1" display="Заголовочная часть"/>
  </hyperlinks>
  <pageMargins left="1" right="1" top="1" bottom="1" header="0.5" footer="0.5"/>
  <pageSetup paperSize="9" scale="82" fitToHeight="0" orientation="landscape" r:id="rId1"/>
  <ignoredErrors>
    <ignoredError sqref="B13:B2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0">
    <tabColor theme="6"/>
    <pageSetUpPr fitToPage="1"/>
  </sheetPr>
  <dimension ref="A1:N63"/>
  <sheetViews>
    <sheetView zoomScaleNormal="100" workbookViewId="0">
      <selection activeCell="D32" sqref="D32"/>
    </sheetView>
  </sheetViews>
  <sheetFormatPr defaultRowHeight="12.75"/>
  <cols>
    <col min="1" max="1" width="2.42578125" style="63" customWidth="1"/>
    <col min="2" max="2" width="48.7109375" style="58" customWidth="1"/>
    <col min="3" max="3" width="9.5703125" style="490" bestFit="1" customWidth="1"/>
    <col min="4" max="4" width="45.42578125" style="59" customWidth="1"/>
    <col min="5" max="5" width="4.5703125" customWidth="1"/>
    <col min="6" max="6" width="40.5703125" style="56" customWidth="1"/>
    <col min="7" max="7" width="44.28515625" customWidth="1"/>
    <col min="8" max="8" width="9" customWidth="1"/>
  </cols>
  <sheetData>
    <row r="1" spans="1:14" ht="20.25" customHeight="1">
      <c r="A1" s="73"/>
      <c r="B1" s="74" t="s">
        <v>169</v>
      </c>
      <c r="D1" s="75" t="s">
        <v>161</v>
      </c>
      <c r="F1" s="83"/>
    </row>
    <row r="2" spans="1:14" ht="15.75" customHeight="1">
      <c r="B2" s="67" t="s">
        <v>167</v>
      </c>
      <c r="C2" s="491"/>
      <c r="D2" s="68">
        <v>46112</v>
      </c>
      <c r="F2" s="72" t="s">
        <v>1169</v>
      </c>
      <c r="G2" s="72"/>
      <c r="I2" s="490"/>
    </row>
    <row r="3" spans="1:14">
      <c r="A3" s="499" t="s">
        <v>1006</v>
      </c>
      <c r="C3" s="492"/>
    </row>
    <row r="4" spans="1:14" ht="21.75" customHeight="1">
      <c r="A4" s="64"/>
      <c r="B4" s="67" t="s">
        <v>753</v>
      </c>
      <c r="C4" s="491" t="s">
        <v>754</v>
      </c>
      <c r="D4" s="77" t="str">
        <f>"NO_BUHOTCH_" &amp; D7 &amp; "_" &amp; D8 &amp; "_" &amp; D20 &amp; "_" &amp; TEXT(D10,"ГГГГММДД") &amp; "_1"</f>
        <v>NO_BUHOTCH____19000100_1</v>
      </c>
      <c r="F4" s="525" t="s">
        <v>1025</v>
      </c>
      <c r="G4" s="78"/>
      <c r="H4" s="48"/>
      <c r="I4" s="490"/>
      <c r="J4" s="55"/>
      <c r="K4" s="55"/>
      <c r="L4" s="56"/>
    </row>
    <row r="5" spans="1:14">
      <c r="A5" s="64"/>
      <c r="B5" s="67" t="s">
        <v>755</v>
      </c>
      <c r="C5" s="493" t="s">
        <v>756</v>
      </c>
      <c r="D5" s="69" t="s">
        <v>1166</v>
      </c>
      <c r="F5" s="56" t="s">
        <v>1167</v>
      </c>
      <c r="I5" s="490"/>
    </row>
    <row r="6" spans="1:14">
      <c r="A6" s="64"/>
      <c r="B6" s="67" t="s">
        <v>757</v>
      </c>
      <c r="C6" s="491" t="s">
        <v>758</v>
      </c>
      <c r="D6" s="69" t="s">
        <v>1150</v>
      </c>
      <c r="I6" s="490"/>
    </row>
    <row r="7" spans="1:14">
      <c r="A7" s="64"/>
      <c r="B7" s="67" t="s">
        <v>759</v>
      </c>
      <c r="C7" s="491" t="s">
        <v>760</v>
      </c>
      <c r="D7" s="69"/>
      <c r="F7" s="56" t="s">
        <v>761</v>
      </c>
      <c r="H7" s="56" t="s">
        <v>781</v>
      </c>
      <c r="I7" s="490"/>
    </row>
    <row r="8" spans="1:14" ht="14.1" customHeight="1">
      <c r="A8" s="64"/>
      <c r="B8" s="67" t="s">
        <v>762</v>
      </c>
      <c r="C8" s="491" t="s">
        <v>763</v>
      </c>
      <c r="D8" s="69"/>
      <c r="F8" s="56" t="s">
        <v>764</v>
      </c>
      <c r="I8" s="490"/>
    </row>
    <row r="9" spans="1:14">
      <c r="B9" s="67" t="s">
        <v>765</v>
      </c>
      <c r="C9" s="491" t="s">
        <v>766</v>
      </c>
      <c r="D9" s="60" t="s">
        <v>767</v>
      </c>
      <c r="F9" s="56" t="s">
        <v>768</v>
      </c>
      <c r="I9" s="490"/>
    </row>
    <row r="10" spans="1:14">
      <c r="B10" s="67" t="s">
        <v>769</v>
      </c>
      <c r="C10" s="491" t="s">
        <v>770</v>
      </c>
      <c r="D10" s="81"/>
      <c r="F10" s="56" t="s">
        <v>771</v>
      </c>
      <c r="I10" s="490"/>
    </row>
    <row r="11" spans="1:14">
      <c r="B11" s="67" t="s">
        <v>772</v>
      </c>
      <c r="C11" s="491" t="s">
        <v>293</v>
      </c>
      <c r="D11" s="66" t="s">
        <v>448</v>
      </c>
      <c r="F11" s="79"/>
      <c r="G11" s="48" t="s">
        <v>165</v>
      </c>
    </row>
    <row r="12" spans="1:14">
      <c r="B12" s="67" t="s">
        <v>774</v>
      </c>
      <c r="C12" s="491" t="s">
        <v>775</v>
      </c>
      <c r="D12" s="76" t="s">
        <v>1179</v>
      </c>
      <c r="F12" s="56" t="s">
        <v>776</v>
      </c>
      <c r="I12" s="490"/>
    </row>
    <row r="13" spans="1:14">
      <c r="B13" s="67" t="s">
        <v>179</v>
      </c>
      <c r="C13" s="491" t="s">
        <v>180</v>
      </c>
      <c r="D13" s="802">
        <f>IF(MONTH('Общие сведения'!D2)=12,1,0)</f>
        <v>0</v>
      </c>
      <c r="F13" s="56" t="s">
        <v>182</v>
      </c>
      <c r="G13" s="56" t="s">
        <v>1141</v>
      </c>
      <c r="I13" s="490"/>
    </row>
    <row r="14" spans="1:14">
      <c r="B14" s="67" t="s">
        <v>777</v>
      </c>
      <c r="C14" s="491" t="s">
        <v>778</v>
      </c>
      <c r="D14" s="76" t="s">
        <v>779</v>
      </c>
      <c r="F14" s="56" t="s">
        <v>780</v>
      </c>
      <c r="I14" s="490"/>
      <c r="J14" s="476"/>
      <c r="K14" s="476"/>
      <c r="L14" s="476"/>
      <c r="M14" s="476"/>
      <c r="N14" s="476"/>
    </row>
    <row r="15" spans="1:14" ht="14.1" customHeight="1">
      <c r="B15" s="67" t="s">
        <v>158</v>
      </c>
      <c r="C15" s="491" t="s">
        <v>157</v>
      </c>
      <c r="D15" s="66" t="s">
        <v>156</v>
      </c>
      <c r="F15" s="56" t="s">
        <v>163</v>
      </c>
      <c r="I15" s="476"/>
      <c r="J15" s="476"/>
      <c r="K15" s="476"/>
      <c r="L15" s="476"/>
      <c r="M15" s="476"/>
      <c r="N15" s="476"/>
    </row>
    <row r="16" spans="1:14" ht="14.1" customHeight="1">
      <c r="B16" s="67" t="s">
        <v>166</v>
      </c>
      <c r="C16" s="491"/>
      <c r="D16" s="66" t="str">
        <f>TEXT(D2, "ДД / ММ / ГГГГ")</f>
        <v>31 / 03 / 2026</v>
      </c>
      <c r="F16" s="56" t="s">
        <v>164</v>
      </c>
      <c r="I16" s="476"/>
      <c r="J16" s="476"/>
      <c r="K16" s="476"/>
      <c r="L16" s="476"/>
      <c r="M16" s="476"/>
      <c r="N16" s="476"/>
    </row>
    <row r="17" spans="1:14">
      <c r="A17" s="499" t="s">
        <v>1007</v>
      </c>
      <c r="C17" s="494"/>
      <c r="D17" s="61"/>
      <c r="F17" s="814" t="s">
        <v>1170</v>
      </c>
      <c r="I17" s="476"/>
      <c r="J17" s="476"/>
      <c r="K17" s="476"/>
      <c r="L17" s="476"/>
      <c r="M17" s="476"/>
      <c r="N17" s="476"/>
    </row>
    <row r="18" spans="1:14" ht="14.1" customHeight="1">
      <c r="A18" s="65"/>
      <c r="B18" s="500" t="s">
        <v>997</v>
      </c>
      <c r="C18" s="495"/>
      <c r="D18" s="502"/>
      <c r="E18" s="477"/>
      <c r="F18" s="490" t="s">
        <v>1010</v>
      </c>
      <c r="G18" s="506"/>
      <c r="I18" s="490"/>
      <c r="J18" s="476"/>
      <c r="K18" s="476"/>
      <c r="L18" s="476"/>
      <c r="M18" s="476"/>
      <c r="N18" s="476"/>
    </row>
    <row r="19" spans="1:14" ht="14.1" customHeight="1">
      <c r="A19" s="65"/>
      <c r="B19" s="500" t="s">
        <v>995</v>
      </c>
      <c r="C19" s="495" t="s">
        <v>155</v>
      </c>
      <c r="D19" s="503"/>
      <c r="E19" s="477"/>
      <c r="F19" s="490" t="s">
        <v>155</v>
      </c>
      <c r="G19" s="490" t="s">
        <v>1012</v>
      </c>
      <c r="I19" s="490"/>
      <c r="J19" s="476"/>
      <c r="K19" s="476"/>
      <c r="L19" s="476"/>
      <c r="M19" s="476"/>
      <c r="N19" s="476"/>
    </row>
    <row r="20" spans="1:14" ht="14.1" customHeight="1">
      <c r="A20" s="65"/>
      <c r="B20" s="500" t="s">
        <v>996</v>
      </c>
      <c r="C20" s="495" t="s">
        <v>150</v>
      </c>
      <c r="D20" s="503"/>
      <c r="E20" s="477"/>
      <c r="F20" s="490" t="s">
        <v>149</v>
      </c>
      <c r="G20" s="490" t="s">
        <v>1011</v>
      </c>
      <c r="I20" s="490"/>
      <c r="J20" s="476"/>
      <c r="K20" s="476"/>
      <c r="L20" s="476"/>
      <c r="M20" s="476"/>
      <c r="N20" s="476"/>
    </row>
    <row r="21" spans="1:14" ht="19.5" customHeight="1">
      <c r="A21" s="65"/>
      <c r="B21" s="500" t="s">
        <v>998</v>
      </c>
      <c r="C21" s="495"/>
      <c r="D21" s="502" t="s">
        <v>616</v>
      </c>
      <c r="E21" s="477"/>
      <c r="F21" s="507" t="s">
        <v>773</v>
      </c>
      <c r="G21" s="490" t="s">
        <v>1175</v>
      </c>
      <c r="I21" s="490"/>
      <c r="J21" s="476"/>
      <c r="K21" s="476"/>
      <c r="L21" s="476"/>
      <c r="M21" s="476"/>
      <c r="N21" s="476"/>
    </row>
    <row r="22" spans="1:14" ht="20.25" customHeight="1">
      <c r="A22" s="65"/>
      <c r="B22" s="501" t="s">
        <v>999</v>
      </c>
      <c r="C22" s="495" t="s">
        <v>152</v>
      </c>
      <c r="D22" s="818">
        <f>VLOOKUP(D21,Справочники!C168:D180,2,0)</f>
        <v>12300</v>
      </c>
      <c r="E22" s="477"/>
      <c r="F22" s="507" t="s">
        <v>1177</v>
      </c>
      <c r="G22" s="490" t="s">
        <v>1175</v>
      </c>
      <c r="I22" s="490"/>
      <c r="J22" s="476"/>
      <c r="K22" s="476"/>
      <c r="L22" s="476"/>
      <c r="M22" s="476"/>
      <c r="N22" s="476"/>
    </row>
    <row r="23" spans="1:14" ht="27" customHeight="1">
      <c r="A23" s="65"/>
      <c r="B23" s="500" t="s">
        <v>1000</v>
      </c>
      <c r="C23" s="495" t="s">
        <v>151</v>
      </c>
      <c r="D23" s="502" t="s">
        <v>399</v>
      </c>
      <c r="E23" s="477"/>
      <c r="F23" s="507" t="s">
        <v>773</v>
      </c>
      <c r="G23" s="490" t="s">
        <v>1178</v>
      </c>
      <c r="I23" s="490"/>
      <c r="K23" s="476"/>
      <c r="L23" s="476"/>
      <c r="M23" s="476"/>
      <c r="N23" s="476"/>
    </row>
    <row r="24" spans="1:14" ht="14.1" customHeight="1">
      <c r="A24" s="65"/>
      <c r="B24" s="500" t="s">
        <v>1001</v>
      </c>
      <c r="C24" s="495" t="s">
        <v>153</v>
      </c>
      <c r="D24" s="818" t="str">
        <f>VLOOKUP(D23,Справочники!C30:D48,2,0)</f>
        <v>16</v>
      </c>
      <c r="E24" s="477"/>
      <c r="F24" s="507" t="s">
        <v>1176</v>
      </c>
      <c r="G24" s="490" t="s">
        <v>1178</v>
      </c>
      <c r="I24" s="490"/>
      <c r="J24" s="476"/>
      <c r="K24" s="476"/>
      <c r="L24" s="476"/>
      <c r="M24" s="476"/>
      <c r="N24" s="476"/>
    </row>
    <row r="25" spans="1:14" ht="51" customHeight="1">
      <c r="A25" s="65"/>
      <c r="B25" s="500" t="s">
        <v>1021</v>
      </c>
      <c r="C25" s="491" t="s">
        <v>1019</v>
      </c>
      <c r="D25" s="502"/>
      <c r="E25" s="477"/>
      <c r="F25" s="859" t="s">
        <v>1013</v>
      </c>
      <c r="G25" s="859"/>
      <c r="I25" s="490"/>
      <c r="J25" s="476"/>
      <c r="K25" s="476"/>
      <c r="L25" s="476"/>
      <c r="M25" s="476"/>
      <c r="N25" s="476"/>
    </row>
    <row r="26" spans="1:14">
      <c r="A26" s="499" t="s">
        <v>1008</v>
      </c>
      <c r="B26" s="478"/>
      <c r="C26" s="496"/>
      <c r="D26" s="504"/>
      <c r="E26" s="477"/>
      <c r="F26" s="814" t="s">
        <v>1170</v>
      </c>
      <c r="G26" s="508"/>
      <c r="I26" s="476"/>
      <c r="J26" s="476"/>
      <c r="K26" s="476"/>
      <c r="L26" s="476"/>
      <c r="M26" s="476"/>
      <c r="N26" s="476"/>
    </row>
    <row r="27" spans="1:14" ht="12.75" customHeight="1">
      <c r="A27" s="65"/>
      <c r="B27" s="500" t="s">
        <v>992</v>
      </c>
      <c r="C27" s="491"/>
      <c r="D27" s="802">
        <f>IF(MONTH('Общие сведения'!D2)=12,1,0)</f>
        <v>0</v>
      </c>
      <c r="F27" s="490" t="s">
        <v>182</v>
      </c>
      <c r="G27" s="56" t="s">
        <v>1141</v>
      </c>
      <c r="I27" s="490"/>
      <c r="J27" s="476"/>
      <c r="K27" s="476"/>
      <c r="L27" s="476"/>
      <c r="M27" s="476"/>
      <c r="N27" s="476"/>
    </row>
    <row r="28" spans="1:14" ht="24">
      <c r="A28" s="65"/>
      <c r="B28" s="501" t="s">
        <v>1005</v>
      </c>
      <c r="C28" s="495"/>
      <c r="D28" s="502"/>
      <c r="E28" s="477"/>
      <c r="F28" s="490" t="s">
        <v>1014</v>
      </c>
      <c r="G28" s="506"/>
      <c r="I28" s="490"/>
      <c r="J28" s="476"/>
      <c r="K28" s="476"/>
      <c r="L28" s="476"/>
      <c r="M28" s="476"/>
      <c r="N28" s="476"/>
    </row>
    <row r="29" spans="1:14" ht="12.75" customHeight="1">
      <c r="A29" s="499" t="s">
        <v>1009</v>
      </c>
      <c r="B29" s="489"/>
      <c r="C29" s="498"/>
      <c r="D29" s="505"/>
      <c r="F29" s="490"/>
      <c r="G29" s="506"/>
      <c r="I29" s="476"/>
      <c r="J29" s="476"/>
      <c r="K29" s="476"/>
      <c r="L29" s="476"/>
      <c r="M29" s="476"/>
      <c r="N29" s="476"/>
    </row>
    <row r="30" spans="1:14" ht="24">
      <c r="A30" s="65"/>
      <c r="B30" s="501" t="s">
        <v>1002</v>
      </c>
      <c r="C30" s="495" t="s">
        <v>151</v>
      </c>
      <c r="D30" s="502"/>
      <c r="F30" s="490" t="s">
        <v>1015</v>
      </c>
      <c r="G30" s="506"/>
      <c r="I30" s="490"/>
      <c r="J30" s="476"/>
      <c r="K30" s="476"/>
      <c r="L30" s="476"/>
      <c r="M30" s="476"/>
      <c r="N30" s="476"/>
    </row>
    <row r="31" spans="1:14" ht="24">
      <c r="A31" s="65"/>
      <c r="B31" s="501" t="s">
        <v>1003</v>
      </c>
      <c r="C31" s="495" t="s">
        <v>150</v>
      </c>
      <c r="D31" s="503"/>
      <c r="F31" s="490" t="s">
        <v>149</v>
      </c>
      <c r="G31" s="490" t="s">
        <v>1011</v>
      </c>
      <c r="I31" s="490"/>
      <c r="J31" s="476"/>
      <c r="K31" s="476"/>
      <c r="L31" s="476"/>
      <c r="M31" s="476"/>
      <c r="N31" s="476"/>
    </row>
    <row r="32" spans="1:14" ht="24">
      <c r="A32" s="65"/>
      <c r="B32" s="501" t="s">
        <v>1004</v>
      </c>
      <c r="C32" s="495" t="s">
        <v>181</v>
      </c>
      <c r="D32" s="503"/>
      <c r="F32" s="490" t="s">
        <v>181</v>
      </c>
      <c r="G32" s="490" t="s">
        <v>1016</v>
      </c>
      <c r="I32" s="490"/>
      <c r="J32" s="476"/>
      <c r="K32" s="476"/>
      <c r="L32" s="476"/>
      <c r="M32" s="476"/>
      <c r="N32" s="476"/>
    </row>
    <row r="33" spans="1:14" ht="13.5" customHeight="1">
      <c r="A33" s="499" t="s">
        <v>1152</v>
      </c>
      <c r="B33" s="489"/>
      <c r="C33" s="498"/>
      <c r="D33" s="505" t="s">
        <v>1151</v>
      </c>
      <c r="F33" s="814" t="s">
        <v>1170</v>
      </c>
      <c r="G33" s="509"/>
      <c r="I33" s="476"/>
      <c r="J33" s="476"/>
      <c r="K33" s="476"/>
      <c r="L33" s="476"/>
      <c r="M33" s="476"/>
      <c r="N33" s="476"/>
    </row>
    <row r="34" spans="1:14" ht="14.25" customHeight="1">
      <c r="A34" s="65"/>
      <c r="B34" s="488" t="s">
        <v>993</v>
      </c>
      <c r="C34" s="495" t="s">
        <v>1172</v>
      </c>
      <c r="D34" s="502"/>
      <c r="F34" s="490"/>
      <c r="G34" s="509"/>
      <c r="I34" s="490"/>
      <c r="J34" s="476"/>
      <c r="K34" s="476"/>
      <c r="L34" s="476"/>
      <c r="M34" s="476"/>
      <c r="N34" s="476"/>
    </row>
    <row r="35" spans="1:14" ht="14.25" customHeight="1">
      <c r="A35" s="65"/>
      <c r="B35" s="488"/>
      <c r="C35" s="495" t="s">
        <v>1173</v>
      </c>
      <c r="D35" s="502"/>
      <c r="F35" s="490"/>
      <c r="G35" s="509"/>
      <c r="I35" s="490"/>
      <c r="J35" s="476"/>
      <c r="K35" s="476"/>
      <c r="L35" s="476"/>
      <c r="M35" s="476"/>
      <c r="N35" s="476"/>
    </row>
    <row r="36" spans="1:14" ht="14.25" customHeight="1">
      <c r="A36" s="65"/>
      <c r="B36" s="488"/>
      <c r="C36" s="495" t="s">
        <v>1174</v>
      </c>
      <c r="D36" s="502"/>
      <c r="F36" s="490"/>
      <c r="G36" s="509"/>
      <c r="I36" s="490"/>
      <c r="J36" s="476"/>
      <c r="K36" s="476"/>
      <c r="L36" s="476"/>
      <c r="M36" s="476"/>
      <c r="N36" s="476"/>
    </row>
    <row r="37" spans="1:14" ht="18.75" customHeight="1">
      <c r="F37" s="72" t="s">
        <v>185</v>
      </c>
      <c r="I37" s="476"/>
      <c r="J37" s="476"/>
      <c r="K37" s="476"/>
      <c r="L37" s="476"/>
      <c r="M37" s="476"/>
      <c r="N37" s="476"/>
    </row>
    <row r="38" spans="1:14" ht="23.25" customHeight="1">
      <c r="B38" s="860" t="s">
        <v>1146</v>
      </c>
      <c r="C38" s="860"/>
      <c r="D38" s="860"/>
      <c r="I38" s="476"/>
      <c r="J38" s="476"/>
      <c r="K38" s="476"/>
      <c r="L38" s="476"/>
      <c r="M38" s="476"/>
      <c r="N38" s="476"/>
    </row>
    <row r="39" spans="1:14">
      <c r="B39" s="225"/>
      <c r="I39" s="476"/>
      <c r="J39" s="476"/>
      <c r="K39" s="476"/>
      <c r="L39" s="476"/>
      <c r="M39" s="476"/>
      <c r="N39" s="476"/>
    </row>
    <row r="40" spans="1:14">
      <c r="B40" s="62"/>
      <c r="F40" s="82"/>
      <c r="I40" s="476"/>
      <c r="J40" s="476"/>
      <c r="K40" s="476"/>
      <c r="L40" s="476"/>
      <c r="M40" s="476"/>
      <c r="N40" s="476"/>
    </row>
    <row r="41" spans="1:14" hidden="1">
      <c r="B41" s="813" t="s">
        <v>1145</v>
      </c>
      <c r="C41" s="803"/>
      <c r="D41" s="804"/>
      <c r="I41" s="476"/>
      <c r="J41" s="476"/>
      <c r="K41" s="476"/>
      <c r="L41" s="476"/>
      <c r="M41" s="476"/>
      <c r="N41" s="476"/>
    </row>
    <row r="42" spans="1:14" hidden="1">
      <c r="B42" s="58" t="s">
        <v>170</v>
      </c>
    </row>
    <row r="43" spans="1:14" hidden="1">
      <c r="B43" s="58" t="s">
        <v>171</v>
      </c>
    </row>
    <row r="44" spans="1:14" hidden="1">
      <c r="B44" s="58" t="s">
        <v>178</v>
      </c>
    </row>
    <row r="45" spans="1:14" hidden="1">
      <c r="B45" s="58" t="s">
        <v>172</v>
      </c>
    </row>
    <row r="46" spans="1:14" hidden="1">
      <c r="B46" s="58" t="s">
        <v>173</v>
      </c>
    </row>
    <row r="47" spans="1:14" hidden="1">
      <c r="B47" s="58" t="s">
        <v>174</v>
      </c>
    </row>
    <row r="48" spans="1:14" hidden="1">
      <c r="B48" s="58" t="s">
        <v>175</v>
      </c>
    </row>
    <row r="49" spans="1:6" hidden="1">
      <c r="B49" s="58" t="s">
        <v>1143</v>
      </c>
    </row>
    <row r="50" spans="1:6" hidden="1">
      <c r="B50" s="58" t="s">
        <v>176</v>
      </c>
    </row>
    <row r="51" spans="1:6" hidden="1">
      <c r="B51" s="58" t="s">
        <v>177</v>
      </c>
    </row>
    <row r="52" spans="1:6" hidden="1">
      <c r="B52" s="58" t="s">
        <v>183</v>
      </c>
    </row>
    <row r="53" spans="1:6" ht="45" hidden="1" customHeight="1">
      <c r="B53" s="861" t="s">
        <v>1147</v>
      </c>
      <c r="C53" s="861"/>
      <c r="D53" s="861"/>
    </row>
    <row r="54" spans="1:6" s="49" customFormat="1" hidden="1">
      <c r="A54" s="50"/>
      <c r="B54" s="805" t="s">
        <v>186</v>
      </c>
      <c r="C54" s="497"/>
      <c r="D54" s="59"/>
      <c r="F54" s="70"/>
    </row>
    <row r="55" spans="1:6" s="49" customFormat="1" hidden="1">
      <c r="A55" s="50"/>
      <c r="B55" s="805" t="s">
        <v>188</v>
      </c>
      <c r="C55" s="497"/>
      <c r="D55" s="59"/>
      <c r="F55" s="70"/>
    </row>
    <row r="56" spans="1:6" s="49" customFormat="1" hidden="1">
      <c r="A56" s="50"/>
      <c r="B56" s="805" t="s">
        <v>189</v>
      </c>
      <c r="C56" s="497"/>
      <c r="D56" s="59"/>
      <c r="F56" s="70"/>
    </row>
    <row r="57" spans="1:6" hidden="1">
      <c r="B57" s="805" t="s">
        <v>1144</v>
      </c>
    </row>
    <row r="58" spans="1:6" hidden="1">
      <c r="B58" s="805" t="s">
        <v>1171</v>
      </c>
    </row>
    <row r="59" spans="1:6" s="49" customFormat="1" hidden="1">
      <c r="A59" s="50"/>
      <c r="B59" s="58" t="s">
        <v>190</v>
      </c>
      <c r="C59" s="497"/>
      <c r="D59" s="59"/>
      <c r="F59" s="70"/>
    </row>
    <row r="60" spans="1:6" hidden="1">
      <c r="B60" s="58" t="s">
        <v>1168</v>
      </c>
    </row>
    <row r="61" spans="1:6" hidden="1"/>
    <row r="62" spans="1:6" hidden="1">
      <c r="B62" s="58" t="s">
        <v>191</v>
      </c>
    </row>
    <row r="63" spans="1:6" hidden="1">
      <c r="B63" s="58" t="s">
        <v>192</v>
      </c>
    </row>
  </sheetData>
  <mergeCells count="3">
    <mergeCell ref="F25:G25"/>
    <mergeCell ref="B38:D38"/>
    <mergeCell ref="B53:D53"/>
  </mergeCells>
  <dataValidations count="13">
    <dataValidation type="textLength" allowBlank="1" showInputMessage="1" showErrorMessage="1" prompt="Содержит (повторяет) имя сформированного файла (без расширения)._x000a__x000a_" sqref="D4">
      <formula1>1</formula1>
      <formula2>255</formula2>
    </dataValidation>
    <dataValidation type="textLength" allowBlank="1" showInputMessage="1" showErrorMessage="1" prompt="Версия программы, с помощью которой сформирован файл" sqref="D5">
      <formula1>1</formula1>
      <formula2>40</formula2>
    </dataValidation>
    <dataValidation type="textLength" operator="equal" allowBlank="1" showInputMessage="1" showErrorMessage="1" sqref="D6">
      <formula1>4</formula1>
    </dataValidation>
    <dataValidation type="textLength" operator="equal" allowBlank="1" showInputMessage="1" showErrorMessage="1" sqref="D9">
      <formula1>7</formula1>
    </dataValidation>
    <dataValidation type="textLength" operator="equal" allowBlank="1" showInputMessage="1" showErrorMessage="1" prompt="Принимает значение:_x000a_34 – год   |_x000a_90 – год при реорганизации (ликвидации) организации (ликвидационная, заключительная отчетность)   |_x000a_94 – год при реорганизации (ликвидации) организации (промежуточная, вступительная отчетность)" sqref="D11">
      <formula1>2</formula1>
    </dataValidation>
    <dataValidation type="whole" allowBlank="1" showInputMessage="1" showErrorMessage="1" prompt="Принимает значение:_x000a_0 – для первичного документа, _x000a_1999 – для корректирующего документа_x000a_" sqref="D14">
      <formula1>0</formula1>
      <formula2>999</formula2>
    </dataValidation>
    <dataValidation type="textLength" operator="equal" allowBlank="1" showInputMessage="1" showErrorMessage="1" prompt="Принимает значение: 384 – тыс. рублей  | 385 – млн. рублей" sqref="D15">
      <formula1>3</formula1>
    </dataValidation>
    <dataValidation operator="equal" allowBlank="1" showInputMessage="1" showErrorMessage="1" sqref="D16 D10"/>
    <dataValidation type="date" operator="greaterThanOrEqual" allowBlank="1" showInputMessage="1" showErrorMessage="1" errorTitle="D2:" promptTitle="D2:::" sqref="D2">
      <formula1>43845</formula1>
    </dataValidation>
    <dataValidation type="textLength" operator="equal" allowBlank="1" showInputMessage="1" showErrorMessage="1" error="Принимает значение:_x000a_1 - да_x000a_0 - нет" sqref="D27">
      <formula1>1</formula1>
    </dataValidation>
    <dataValidation type="textLength" allowBlank="1" showInputMessage="1" showErrorMessage="1" sqref="C30 C34:C36">
      <formula1>0</formula1>
      <formula2>1000</formula2>
    </dataValidation>
    <dataValidation type="textLength" operator="equal" allowBlank="1" showInputMessage="1" showErrorMessage="1" error="четырехразрядный код налогового органа" sqref="D7:D8">
      <formula1>4</formula1>
    </dataValidation>
    <dataValidation operator="equal" allowBlank="1" showInputMessage="1" showErrorMessage="1" error="Принимает значение:_x000a_1 - да_x000a_0 - нет" sqref="D13"/>
  </dataValidations>
  <hyperlinks>
    <hyperlink ref="F21" location="Справочники!A168" display=" - см. инф. на листе &quot;Справочники&quot;"/>
    <hyperlink ref="F23" location="Справочники!A27" display=" - см. инф. на листе &quot;Справочники&quot;"/>
  </hyperlinks>
  <pageMargins left="0.31496062992125984" right="0.31496062992125984" top="0.35433070866141736" bottom="0.15748031496062992" header="0.31496062992125984" footer="0.31496062992125984"/>
  <pageSetup paperSize="9" scale="8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Справочники!$C$168:$C$180</xm:f>
          </x14:formula1>
          <xm:sqref>D21</xm:sqref>
        </x14:dataValidation>
        <x14:dataValidation type="list" allowBlank="1" showInputMessage="1" showErrorMessage="1">
          <x14:formula1>
            <xm:f>Справочники!$C$30:$C$48</xm:f>
          </x14:formula1>
          <xm:sqref>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theme="9" tint="0.79998168889431442"/>
    <pageSetUpPr fitToPage="1"/>
  </sheetPr>
  <dimension ref="A2:D287"/>
  <sheetViews>
    <sheetView workbookViewId="0">
      <selection activeCell="B38" sqref="B38"/>
    </sheetView>
  </sheetViews>
  <sheetFormatPr defaultRowHeight="12.75"/>
  <cols>
    <col min="1" max="1" width="5" customWidth="1"/>
    <col min="3" max="3" width="130.140625" customWidth="1"/>
  </cols>
  <sheetData>
    <row r="2" spans="1:3" ht="18" customHeight="1">
      <c r="C2" s="190" t="s">
        <v>366</v>
      </c>
    </row>
    <row r="3" spans="1:3">
      <c r="C3" s="71" t="s">
        <v>367</v>
      </c>
    </row>
    <row r="5" spans="1:3" hidden="1">
      <c r="A5" s="191" t="s">
        <v>368</v>
      </c>
    </row>
    <row r="6" spans="1:3" ht="6.75" hidden="1" customHeight="1"/>
    <row r="7" spans="1:3" hidden="1">
      <c r="B7" t="s">
        <v>369</v>
      </c>
    </row>
    <row r="8" spans="1:3" hidden="1">
      <c r="B8" t="s">
        <v>370</v>
      </c>
    </row>
    <row r="9" spans="1:3" hidden="1">
      <c r="B9" s="192" t="s">
        <v>371</v>
      </c>
    </row>
    <row r="10" spans="1:3" hidden="1"/>
    <row r="11" spans="1:3" hidden="1">
      <c r="B11" s="193" t="s">
        <v>372</v>
      </c>
      <c r="C11" s="194"/>
    </row>
    <row r="12" spans="1:3" hidden="1">
      <c r="B12" s="195"/>
      <c r="C12" s="196" t="s">
        <v>373</v>
      </c>
    </row>
    <row r="13" spans="1:3" hidden="1">
      <c r="B13" s="195"/>
      <c r="C13" s="196" t="s">
        <v>374</v>
      </c>
    </row>
    <row r="14" spans="1:3" ht="52.5" hidden="1" customHeight="1">
      <c r="B14" s="195"/>
      <c r="C14" s="196" t="s">
        <v>375</v>
      </c>
    </row>
    <row r="15" spans="1:3" hidden="1">
      <c r="B15" s="195"/>
      <c r="C15" s="196"/>
    </row>
    <row r="16" spans="1:3" hidden="1">
      <c r="B16" s="195"/>
      <c r="C16" s="196" t="s">
        <v>376</v>
      </c>
    </row>
    <row r="17" spans="1:4" ht="25.5" hidden="1">
      <c r="B17" s="195"/>
      <c r="C17" s="196" t="s">
        <v>377</v>
      </c>
    </row>
    <row r="18" spans="1:4" hidden="1">
      <c r="B18" s="195"/>
      <c r="C18" s="196" t="s">
        <v>378</v>
      </c>
    </row>
    <row r="19" spans="1:4" hidden="1">
      <c r="B19" s="195"/>
      <c r="C19" s="196" t="s">
        <v>379</v>
      </c>
    </row>
    <row r="20" spans="1:4" hidden="1">
      <c r="B20" s="197"/>
      <c r="C20" s="198" t="s">
        <v>380</v>
      </c>
    </row>
    <row r="21" spans="1:4" hidden="1">
      <c r="C21" s="181"/>
    </row>
    <row r="22" spans="1:4" hidden="1">
      <c r="A22" s="191" t="s">
        <v>381</v>
      </c>
      <c r="C22" s="181"/>
    </row>
    <row r="23" spans="1:4" hidden="1">
      <c r="C23" s="181" t="s">
        <v>382</v>
      </c>
    </row>
    <row r="24" spans="1:4" hidden="1">
      <c r="C24" s="181" t="s">
        <v>383</v>
      </c>
    </row>
    <row r="25" spans="1:4" hidden="1">
      <c r="C25" s="181" t="s">
        <v>384</v>
      </c>
    </row>
    <row r="27" spans="1:4">
      <c r="A27" s="191" t="s">
        <v>154</v>
      </c>
    </row>
    <row r="28" spans="1:4" ht="51">
      <c r="A28" s="199" t="s">
        <v>385</v>
      </c>
      <c r="B28" s="199" t="s">
        <v>386</v>
      </c>
      <c r="C28" s="200" t="s">
        <v>387</v>
      </c>
    </row>
    <row r="29" spans="1:4">
      <c r="A29" s="201" t="s">
        <v>388</v>
      </c>
      <c r="B29" s="201"/>
      <c r="C29" s="202" t="s">
        <v>389</v>
      </c>
      <c r="D29" s="201" t="s">
        <v>388</v>
      </c>
    </row>
    <row r="30" spans="1:4">
      <c r="A30" s="201" t="s">
        <v>390</v>
      </c>
      <c r="B30" s="201" t="s">
        <v>388</v>
      </c>
      <c r="C30" s="201" t="s">
        <v>391</v>
      </c>
      <c r="D30" s="201" t="s">
        <v>390</v>
      </c>
    </row>
    <row r="31" spans="1:4">
      <c r="A31" s="201" t="s">
        <v>392</v>
      </c>
      <c r="B31" s="201" t="s">
        <v>390</v>
      </c>
      <c r="C31" s="201" t="s">
        <v>393</v>
      </c>
      <c r="D31" s="201" t="s">
        <v>392</v>
      </c>
    </row>
    <row r="32" spans="1:4">
      <c r="A32" s="201" t="s">
        <v>394</v>
      </c>
      <c r="B32" s="201" t="s">
        <v>390</v>
      </c>
      <c r="C32" s="201" t="s">
        <v>395</v>
      </c>
      <c r="D32" s="201" t="s">
        <v>394</v>
      </c>
    </row>
    <row r="33" spans="1:4">
      <c r="A33" s="201" t="s">
        <v>396</v>
      </c>
      <c r="B33" s="201" t="s">
        <v>388</v>
      </c>
      <c r="C33" s="201" t="s">
        <v>397</v>
      </c>
      <c r="D33" s="201" t="s">
        <v>396</v>
      </c>
    </row>
    <row r="34" spans="1:4">
      <c r="A34" s="201" t="s">
        <v>398</v>
      </c>
      <c r="B34" s="201" t="s">
        <v>388</v>
      </c>
      <c r="C34" s="816" t="s">
        <v>399</v>
      </c>
      <c r="D34" s="201" t="s">
        <v>398</v>
      </c>
    </row>
    <row r="35" spans="1:4">
      <c r="A35" s="201" t="s">
        <v>400</v>
      </c>
      <c r="B35" s="201" t="s">
        <v>388</v>
      </c>
      <c r="C35" s="201" t="s">
        <v>401</v>
      </c>
      <c r="D35" s="201" t="s">
        <v>400</v>
      </c>
    </row>
    <row r="36" spans="1:4">
      <c r="A36" s="201" t="s">
        <v>402</v>
      </c>
      <c r="B36" s="201" t="s">
        <v>388</v>
      </c>
      <c r="C36" s="201" t="s">
        <v>403</v>
      </c>
      <c r="D36" s="201" t="s">
        <v>402</v>
      </c>
    </row>
    <row r="37" spans="1:4">
      <c r="A37" s="201" t="s">
        <v>404</v>
      </c>
      <c r="B37" s="201" t="s">
        <v>388</v>
      </c>
      <c r="C37" s="201" t="s">
        <v>405</v>
      </c>
      <c r="D37" s="201" t="s">
        <v>404</v>
      </c>
    </row>
    <row r="38" spans="1:4">
      <c r="A38" s="201" t="s">
        <v>406</v>
      </c>
      <c r="B38" s="201" t="s">
        <v>404</v>
      </c>
      <c r="C38" s="201" t="s">
        <v>407</v>
      </c>
      <c r="D38" s="201" t="s">
        <v>406</v>
      </c>
    </row>
    <row r="39" spans="1:4">
      <c r="A39" s="201" t="s">
        <v>408</v>
      </c>
      <c r="B39" s="201" t="s">
        <v>404</v>
      </c>
      <c r="C39" s="201" t="s">
        <v>409</v>
      </c>
      <c r="D39" s="201" t="s">
        <v>408</v>
      </c>
    </row>
    <row r="40" spans="1:4">
      <c r="A40" s="201" t="s">
        <v>410</v>
      </c>
      <c r="B40" s="201" t="s">
        <v>404</v>
      </c>
      <c r="C40" s="201" t="s">
        <v>411</v>
      </c>
      <c r="D40" s="201" t="s">
        <v>410</v>
      </c>
    </row>
    <row r="41" spans="1:4">
      <c r="A41" s="201" t="s">
        <v>412</v>
      </c>
      <c r="B41" s="201" t="s">
        <v>404</v>
      </c>
      <c r="C41" s="201" t="s">
        <v>413</v>
      </c>
      <c r="D41" s="201" t="s">
        <v>412</v>
      </c>
    </row>
    <row r="42" spans="1:4">
      <c r="A42" s="201" t="s">
        <v>414</v>
      </c>
      <c r="B42" s="201" t="s">
        <v>404</v>
      </c>
      <c r="C42" s="201" t="s">
        <v>415</v>
      </c>
      <c r="D42" s="201" t="s">
        <v>414</v>
      </c>
    </row>
    <row r="43" spans="1:4">
      <c r="A43" s="201" t="s">
        <v>416</v>
      </c>
      <c r="B43" s="201" t="s">
        <v>388</v>
      </c>
      <c r="C43" s="201" t="s">
        <v>417</v>
      </c>
      <c r="D43" s="201" t="s">
        <v>416</v>
      </c>
    </row>
    <row r="44" spans="1:4">
      <c r="A44" s="201" t="s">
        <v>418</v>
      </c>
      <c r="B44" s="201" t="s">
        <v>416</v>
      </c>
      <c r="C44" s="201" t="s">
        <v>419</v>
      </c>
      <c r="D44" s="201" t="s">
        <v>418</v>
      </c>
    </row>
    <row r="45" spans="1:4">
      <c r="A45" s="201" t="s">
        <v>420</v>
      </c>
      <c r="B45" s="201" t="s">
        <v>418</v>
      </c>
      <c r="C45" s="201" t="s">
        <v>421</v>
      </c>
      <c r="D45" s="201" t="s">
        <v>420</v>
      </c>
    </row>
    <row r="46" spans="1:4">
      <c r="A46" s="201" t="s">
        <v>422</v>
      </c>
      <c r="B46" s="201" t="s">
        <v>418</v>
      </c>
      <c r="C46" s="201" t="s">
        <v>423</v>
      </c>
      <c r="D46" s="201" t="s">
        <v>422</v>
      </c>
    </row>
    <row r="47" spans="1:4">
      <c r="A47" s="201" t="s">
        <v>424</v>
      </c>
      <c r="B47" s="201" t="s">
        <v>418</v>
      </c>
      <c r="C47" s="201" t="s">
        <v>425</v>
      </c>
      <c r="D47" s="201" t="s">
        <v>424</v>
      </c>
    </row>
    <row r="48" spans="1:4">
      <c r="A48" s="201" t="s">
        <v>426</v>
      </c>
      <c r="B48" s="201" t="s">
        <v>416</v>
      </c>
      <c r="C48" s="201" t="s">
        <v>427</v>
      </c>
      <c r="D48" s="201" t="s">
        <v>426</v>
      </c>
    </row>
    <row r="49" spans="1:4">
      <c r="A49" s="201" t="s">
        <v>428</v>
      </c>
      <c r="B49" s="201"/>
      <c r="C49" s="202" t="s">
        <v>429</v>
      </c>
      <c r="D49" s="201" t="s">
        <v>428</v>
      </c>
    </row>
    <row r="50" spans="1:4">
      <c r="A50" s="201" t="s">
        <v>430</v>
      </c>
      <c r="B50" s="201" t="s">
        <v>428</v>
      </c>
      <c r="C50" s="201" t="s">
        <v>431</v>
      </c>
      <c r="D50" s="201" t="s">
        <v>430</v>
      </c>
    </row>
    <row r="51" spans="1:4">
      <c r="A51" s="201" t="s">
        <v>432</v>
      </c>
      <c r="B51" s="201" t="s">
        <v>428</v>
      </c>
      <c r="C51" s="201" t="s">
        <v>433</v>
      </c>
      <c r="D51" s="201" t="s">
        <v>432</v>
      </c>
    </row>
    <row r="52" spans="1:4">
      <c r="A52" s="201" t="s">
        <v>434</v>
      </c>
      <c r="B52" s="201" t="s">
        <v>428</v>
      </c>
      <c r="C52" s="201" t="s">
        <v>435</v>
      </c>
      <c r="D52" s="201" t="s">
        <v>434</v>
      </c>
    </row>
    <row r="53" spans="1:4">
      <c r="A53" s="201" t="s">
        <v>436</v>
      </c>
      <c r="B53" s="201" t="s">
        <v>428</v>
      </c>
      <c r="C53" s="201" t="s">
        <v>437</v>
      </c>
      <c r="D53" s="201" t="s">
        <v>436</v>
      </c>
    </row>
    <row r="54" spans="1:4">
      <c r="A54" s="201" t="s">
        <v>438</v>
      </c>
      <c r="B54" s="201" t="s">
        <v>428</v>
      </c>
      <c r="C54" s="201" t="s">
        <v>439</v>
      </c>
      <c r="D54" s="201" t="s">
        <v>438</v>
      </c>
    </row>
    <row r="55" spans="1:4">
      <c r="A55" s="201" t="s">
        <v>440</v>
      </c>
      <c r="B55" s="201"/>
      <c r="C55" s="202" t="s">
        <v>441</v>
      </c>
      <c r="D55" s="201" t="s">
        <v>440</v>
      </c>
    </row>
    <row r="56" spans="1:4">
      <c r="A56" s="201" t="s">
        <v>442</v>
      </c>
      <c r="B56" s="201" t="s">
        <v>440</v>
      </c>
      <c r="C56" s="201" t="s">
        <v>443</v>
      </c>
      <c r="D56" s="201" t="s">
        <v>442</v>
      </c>
    </row>
    <row r="57" spans="1:4">
      <c r="A57" s="201" t="s">
        <v>444</v>
      </c>
      <c r="B57" s="201" t="s">
        <v>440</v>
      </c>
      <c r="C57" s="201" t="s">
        <v>445</v>
      </c>
      <c r="D57" s="201" t="s">
        <v>444</v>
      </c>
    </row>
    <row r="58" spans="1:4">
      <c r="A58" s="201" t="s">
        <v>446</v>
      </c>
      <c r="B58" s="201" t="s">
        <v>440</v>
      </c>
      <c r="C58" s="201" t="s">
        <v>447</v>
      </c>
      <c r="D58" s="201" t="s">
        <v>446</v>
      </c>
    </row>
    <row r="59" spans="1:4">
      <c r="A59" s="201" t="s">
        <v>448</v>
      </c>
      <c r="B59" s="201" t="s">
        <v>440</v>
      </c>
      <c r="C59" s="201" t="s">
        <v>449</v>
      </c>
      <c r="D59" s="201" t="s">
        <v>448</v>
      </c>
    </row>
    <row r="60" spans="1:4">
      <c r="A60" s="201" t="s">
        <v>450</v>
      </c>
      <c r="B60" s="201" t="s">
        <v>440</v>
      </c>
      <c r="C60" s="201" t="s">
        <v>451</v>
      </c>
      <c r="D60" s="201" t="s">
        <v>450</v>
      </c>
    </row>
    <row r="61" spans="1:4">
      <c r="A61" s="201" t="s">
        <v>452</v>
      </c>
      <c r="B61" s="201" t="s">
        <v>388</v>
      </c>
      <c r="C61" s="201" t="s">
        <v>453</v>
      </c>
      <c r="D61" s="201" t="s">
        <v>452</v>
      </c>
    </row>
    <row r="63" spans="1:4" ht="15">
      <c r="C63" s="203" t="s">
        <v>454</v>
      </c>
    </row>
    <row r="64" spans="1:4">
      <c r="B64" s="204" t="s">
        <v>455</v>
      </c>
      <c r="C64" s="205" t="s">
        <v>456</v>
      </c>
    </row>
    <row r="65" spans="2:3">
      <c r="B65" s="206" t="s">
        <v>457</v>
      </c>
      <c r="C65" s="207" t="s">
        <v>458</v>
      </c>
    </row>
    <row r="66" spans="2:3">
      <c r="B66" s="206" t="s">
        <v>459</v>
      </c>
      <c r="C66" s="207" t="s">
        <v>460</v>
      </c>
    </row>
    <row r="67" spans="2:3">
      <c r="B67" s="206" t="s">
        <v>461</v>
      </c>
      <c r="C67" s="207" t="s">
        <v>462</v>
      </c>
    </row>
    <row r="68" spans="2:3">
      <c r="B68" s="206" t="s">
        <v>463</v>
      </c>
      <c r="C68" s="207" t="s">
        <v>464</v>
      </c>
    </row>
    <row r="69" spans="2:3">
      <c r="B69" s="206" t="s">
        <v>465</v>
      </c>
      <c r="C69" s="207" t="s">
        <v>466</v>
      </c>
    </row>
    <row r="70" spans="2:3">
      <c r="B70" s="206" t="s">
        <v>467</v>
      </c>
      <c r="C70" s="207" t="s">
        <v>468</v>
      </c>
    </row>
    <row r="71" spans="2:3">
      <c r="B71" s="206" t="s">
        <v>469</v>
      </c>
      <c r="C71" s="207" t="s">
        <v>470</v>
      </c>
    </row>
    <row r="72" spans="2:3">
      <c r="B72" s="206" t="s">
        <v>471</v>
      </c>
      <c r="C72" s="207" t="s">
        <v>472</v>
      </c>
    </row>
    <row r="73" spans="2:3">
      <c r="B73" s="206" t="s">
        <v>473</v>
      </c>
      <c r="C73" s="207" t="s">
        <v>474</v>
      </c>
    </row>
    <row r="74" spans="2:3">
      <c r="B74" s="206" t="s">
        <v>388</v>
      </c>
      <c r="C74" s="207" t="s">
        <v>475</v>
      </c>
    </row>
    <row r="75" spans="2:3">
      <c r="B75" s="206" t="s">
        <v>390</v>
      </c>
      <c r="C75" s="207" t="s">
        <v>476</v>
      </c>
    </row>
    <row r="76" spans="2:3">
      <c r="B76" s="206" t="s">
        <v>392</v>
      </c>
      <c r="C76" s="207" t="s">
        <v>477</v>
      </c>
    </row>
    <row r="77" spans="2:3">
      <c r="B77" s="206" t="s">
        <v>478</v>
      </c>
      <c r="C77" s="207" t="s">
        <v>479</v>
      </c>
    </row>
    <row r="78" spans="2:3">
      <c r="B78" s="206" t="s">
        <v>396</v>
      </c>
      <c r="C78" s="207" t="s">
        <v>480</v>
      </c>
    </row>
    <row r="79" spans="2:3">
      <c r="B79" s="206" t="s">
        <v>404</v>
      </c>
      <c r="C79" s="207" t="s">
        <v>481</v>
      </c>
    </row>
    <row r="80" spans="2:3">
      <c r="B80" s="206" t="s">
        <v>398</v>
      </c>
      <c r="C80" s="207" t="s">
        <v>482</v>
      </c>
    </row>
    <row r="81" spans="2:3">
      <c r="B81" s="206" t="s">
        <v>416</v>
      </c>
      <c r="C81" s="207" t="s">
        <v>483</v>
      </c>
    </row>
    <row r="82" spans="2:3">
      <c r="B82" s="206" t="s">
        <v>400</v>
      </c>
      <c r="C82" s="207" t="s">
        <v>484</v>
      </c>
    </row>
    <row r="83" spans="2:3">
      <c r="B83" s="206" t="s">
        <v>402</v>
      </c>
      <c r="C83" s="207" t="s">
        <v>485</v>
      </c>
    </row>
    <row r="84" spans="2:3">
      <c r="B84" s="206" t="s">
        <v>430</v>
      </c>
      <c r="C84" s="207" t="s">
        <v>486</v>
      </c>
    </row>
    <row r="85" spans="2:3">
      <c r="B85" s="206" t="s">
        <v>432</v>
      </c>
      <c r="C85" s="207" t="s">
        <v>487</v>
      </c>
    </row>
    <row r="86" spans="2:3">
      <c r="B86" s="206" t="s">
        <v>434</v>
      </c>
      <c r="C86" s="207" t="s">
        <v>488</v>
      </c>
    </row>
    <row r="87" spans="2:3">
      <c r="B87" s="206" t="s">
        <v>436</v>
      </c>
      <c r="C87" s="207" t="s">
        <v>489</v>
      </c>
    </row>
    <row r="88" spans="2:3">
      <c r="B88" s="206" t="s">
        <v>490</v>
      </c>
      <c r="C88" s="207" t="s">
        <v>491</v>
      </c>
    </row>
    <row r="89" spans="2:3">
      <c r="B89" s="206" t="s">
        <v>492</v>
      </c>
      <c r="C89" s="207" t="s">
        <v>493</v>
      </c>
    </row>
    <row r="90" spans="2:3">
      <c r="B90" s="206" t="s">
        <v>438</v>
      </c>
      <c r="C90" s="207" t="s">
        <v>494</v>
      </c>
    </row>
    <row r="91" spans="2:3">
      <c r="B91" s="206" t="s">
        <v>495</v>
      </c>
      <c r="C91" s="207" t="s">
        <v>496</v>
      </c>
    </row>
    <row r="92" spans="2:3">
      <c r="B92" s="206" t="s">
        <v>497</v>
      </c>
      <c r="C92" s="207" t="s">
        <v>498</v>
      </c>
    </row>
    <row r="93" spans="2:3">
      <c r="B93" s="206" t="s">
        <v>440</v>
      </c>
      <c r="C93" s="207" t="s">
        <v>499</v>
      </c>
    </row>
    <row r="94" spans="2:3">
      <c r="B94" s="206" t="s">
        <v>442</v>
      </c>
      <c r="C94" s="207" t="s">
        <v>500</v>
      </c>
    </row>
    <row r="95" spans="2:3">
      <c r="B95" s="206" t="s">
        <v>444</v>
      </c>
      <c r="C95" s="207" t="s">
        <v>501</v>
      </c>
    </row>
    <row r="96" spans="2:3">
      <c r="B96" s="206" t="s">
        <v>446</v>
      </c>
      <c r="C96" s="207" t="s">
        <v>502</v>
      </c>
    </row>
    <row r="97" spans="2:3">
      <c r="B97" s="206" t="s">
        <v>448</v>
      </c>
      <c r="C97" s="207" t="s">
        <v>503</v>
      </c>
    </row>
    <row r="98" spans="2:3">
      <c r="B98" s="206" t="s">
        <v>450</v>
      </c>
      <c r="C98" s="207" t="s">
        <v>504</v>
      </c>
    </row>
    <row r="99" spans="2:3">
      <c r="B99" s="206" t="s">
        <v>505</v>
      </c>
      <c r="C99" s="207" t="s">
        <v>506</v>
      </c>
    </row>
    <row r="100" spans="2:3">
      <c r="B100" s="206" t="s">
        <v>507</v>
      </c>
      <c r="C100" s="207" t="s">
        <v>508</v>
      </c>
    </row>
    <row r="101" spans="2:3">
      <c r="B101" s="206" t="s">
        <v>509</v>
      </c>
      <c r="C101" s="207" t="s">
        <v>510</v>
      </c>
    </row>
    <row r="102" spans="2:3">
      <c r="B102" s="206" t="s">
        <v>511</v>
      </c>
      <c r="C102" s="207" t="s">
        <v>512</v>
      </c>
    </row>
    <row r="103" spans="2:3">
      <c r="B103" s="206" t="s">
        <v>418</v>
      </c>
      <c r="C103" s="207" t="s">
        <v>513</v>
      </c>
    </row>
    <row r="104" spans="2:3">
      <c r="B104" s="206" t="s">
        <v>420</v>
      </c>
      <c r="C104" s="207" t="s">
        <v>514</v>
      </c>
    </row>
    <row r="105" spans="2:3">
      <c r="B105" s="206" t="s">
        <v>422</v>
      </c>
      <c r="C105" s="207" t="s">
        <v>515</v>
      </c>
    </row>
    <row r="106" spans="2:3">
      <c r="B106" s="206" t="s">
        <v>424</v>
      </c>
      <c r="C106" s="207" t="s">
        <v>516</v>
      </c>
    </row>
    <row r="107" spans="2:3">
      <c r="B107" s="206" t="s">
        <v>517</v>
      </c>
      <c r="C107" s="207" t="s">
        <v>518</v>
      </c>
    </row>
    <row r="108" spans="2:3">
      <c r="B108" s="206" t="s">
        <v>519</v>
      </c>
      <c r="C108" s="207" t="s">
        <v>520</v>
      </c>
    </row>
    <row r="109" spans="2:3">
      <c r="B109" s="206" t="s">
        <v>521</v>
      </c>
      <c r="C109" s="207" t="s">
        <v>522</v>
      </c>
    </row>
    <row r="110" spans="2:3">
      <c r="B110" s="206" t="s">
        <v>523</v>
      </c>
      <c r="C110" s="207" t="s">
        <v>524</v>
      </c>
    </row>
    <row r="111" spans="2:3">
      <c r="B111" s="206" t="s">
        <v>525</v>
      </c>
      <c r="C111" s="207" t="s">
        <v>526</v>
      </c>
    </row>
    <row r="112" spans="2:3">
      <c r="B112" s="206" t="s">
        <v>426</v>
      </c>
      <c r="C112" s="207" t="s">
        <v>527</v>
      </c>
    </row>
    <row r="113" spans="2:3">
      <c r="B113" s="206" t="s">
        <v>406</v>
      </c>
      <c r="C113" s="207" t="s">
        <v>528</v>
      </c>
    </row>
    <row r="114" spans="2:3">
      <c r="B114" s="206" t="s">
        <v>408</v>
      </c>
      <c r="C114" s="207" t="s">
        <v>529</v>
      </c>
    </row>
    <row r="115" spans="2:3">
      <c r="B115" s="206" t="s">
        <v>410</v>
      </c>
      <c r="C115" s="207" t="s">
        <v>530</v>
      </c>
    </row>
    <row r="116" spans="2:3">
      <c r="B116" s="206" t="s">
        <v>412</v>
      </c>
      <c r="C116" s="207" t="s">
        <v>531</v>
      </c>
    </row>
    <row r="117" spans="2:3">
      <c r="B117" s="206" t="s">
        <v>414</v>
      </c>
      <c r="C117" s="207" t="s">
        <v>532</v>
      </c>
    </row>
    <row r="118" spans="2:3">
      <c r="B118" s="206" t="s">
        <v>533</v>
      </c>
      <c r="C118" s="207" t="s">
        <v>534</v>
      </c>
    </row>
    <row r="119" spans="2:3">
      <c r="B119" s="206" t="s">
        <v>535</v>
      </c>
      <c r="C119" s="207" t="s">
        <v>536</v>
      </c>
    </row>
    <row r="120" spans="2:3">
      <c r="B120" s="206" t="s">
        <v>537</v>
      </c>
      <c r="C120" s="207" t="s">
        <v>538</v>
      </c>
    </row>
    <row r="121" spans="2:3">
      <c r="B121" s="206" t="s">
        <v>539</v>
      </c>
      <c r="C121" s="207" t="s">
        <v>540</v>
      </c>
    </row>
    <row r="122" spans="2:3">
      <c r="B122" s="206" t="s">
        <v>541</v>
      </c>
      <c r="C122" s="207" t="s">
        <v>542</v>
      </c>
    </row>
    <row r="123" spans="2:3">
      <c r="B123" s="206" t="s">
        <v>543</v>
      </c>
      <c r="C123" s="207" t="s">
        <v>544</v>
      </c>
    </row>
    <row r="124" spans="2:3">
      <c r="B124" s="206" t="s">
        <v>452</v>
      </c>
      <c r="C124" s="207" t="s">
        <v>545</v>
      </c>
    </row>
    <row r="125" spans="2:3">
      <c r="B125" s="206" t="s">
        <v>546</v>
      </c>
      <c r="C125" s="207" t="s">
        <v>547</v>
      </c>
    </row>
    <row r="126" spans="2:3">
      <c r="B126" s="206" t="s">
        <v>548</v>
      </c>
      <c r="C126" s="207" t="s">
        <v>549</v>
      </c>
    </row>
    <row r="127" spans="2:3">
      <c r="B127" s="206" t="s">
        <v>550</v>
      </c>
      <c r="C127" s="207" t="s">
        <v>551</v>
      </c>
    </row>
    <row r="128" spans="2:3">
      <c r="B128" s="206" t="s">
        <v>552</v>
      </c>
      <c r="C128" s="207" t="s">
        <v>553</v>
      </c>
    </row>
    <row r="129" spans="2:3">
      <c r="B129" s="206" t="s">
        <v>554</v>
      </c>
      <c r="C129" s="207" t="s">
        <v>555</v>
      </c>
    </row>
    <row r="130" spans="2:3">
      <c r="B130" s="206" t="s">
        <v>556</v>
      </c>
      <c r="C130" s="207" t="s">
        <v>557</v>
      </c>
    </row>
    <row r="131" spans="2:3">
      <c r="B131" s="206" t="s">
        <v>558</v>
      </c>
      <c r="C131" s="207" t="s">
        <v>559</v>
      </c>
    </row>
    <row r="132" spans="2:3">
      <c r="B132" s="206" t="s">
        <v>560</v>
      </c>
      <c r="C132" s="207" t="s">
        <v>561</v>
      </c>
    </row>
    <row r="133" spans="2:3">
      <c r="B133" s="206" t="s">
        <v>562</v>
      </c>
      <c r="C133" s="207" t="s">
        <v>563</v>
      </c>
    </row>
    <row r="134" spans="2:3">
      <c r="B134" s="206" t="s">
        <v>564</v>
      </c>
      <c r="C134" s="207" t="s">
        <v>565</v>
      </c>
    </row>
    <row r="135" spans="2:3">
      <c r="B135" s="206" t="s">
        <v>566</v>
      </c>
      <c r="C135" s="207" t="s">
        <v>567</v>
      </c>
    </row>
    <row r="136" spans="2:3">
      <c r="B136" s="206" t="s">
        <v>568</v>
      </c>
      <c r="C136" s="207" t="s">
        <v>569</v>
      </c>
    </row>
    <row r="137" spans="2:3">
      <c r="B137" s="206" t="s">
        <v>570</v>
      </c>
      <c r="C137" s="207" t="s">
        <v>571</v>
      </c>
    </row>
    <row r="138" spans="2:3">
      <c r="B138" s="206" t="s">
        <v>572</v>
      </c>
      <c r="C138" s="207" t="s">
        <v>573</v>
      </c>
    </row>
    <row r="139" spans="2:3">
      <c r="B139" s="206" t="s">
        <v>574</v>
      </c>
      <c r="C139" s="207" t="s">
        <v>575</v>
      </c>
    </row>
    <row r="140" spans="2:3">
      <c r="B140" s="206" t="s">
        <v>576</v>
      </c>
      <c r="C140" s="208" t="s">
        <v>577</v>
      </c>
    </row>
    <row r="141" spans="2:3">
      <c r="B141" s="206" t="s">
        <v>578</v>
      </c>
      <c r="C141" s="208" t="s">
        <v>579</v>
      </c>
    </row>
    <row r="142" spans="2:3">
      <c r="B142" s="206" t="s">
        <v>580</v>
      </c>
      <c r="C142" s="207" t="s">
        <v>581</v>
      </c>
    </row>
    <row r="143" spans="2:3">
      <c r="B143" s="206" t="s">
        <v>582</v>
      </c>
      <c r="C143" s="207" t="s">
        <v>583</v>
      </c>
    </row>
    <row r="144" spans="2:3">
      <c r="B144" s="206" t="s">
        <v>584</v>
      </c>
      <c r="C144" s="207" t="s">
        <v>585</v>
      </c>
    </row>
    <row r="145" spans="1:4">
      <c r="B145" s="206" t="s">
        <v>586</v>
      </c>
      <c r="C145" s="207" t="s">
        <v>587</v>
      </c>
    </row>
    <row r="146" spans="1:4">
      <c r="B146" s="206" t="s">
        <v>588</v>
      </c>
      <c r="C146" s="207" t="s">
        <v>589</v>
      </c>
    </row>
    <row r="147" spans="1:4">
      <c r="B147" s="206" t="s">
        <v>590</v>
      </c>
      <c r="C147" s="207" t="s">
        <v>591</v>
      </c>
    </row>
    <row r="148" spans="1:4">
      <c r="B148" s="206" t="s">
        <v>592</v>
      </c>
      <c r="C148" s="208" t="s">
        <v>593</v>
      </c>
    </row>
    <row r="149" spans="1:4">
      <c r="B149" s="206" t="s">
        <v>594</v>
      </c>
      <c r="C149" s="207" t="s">
        <v>595</v>
      </c>
    </row>
    <row r="152" spans="1:4">
      <c r="A152" s="191" t="s">
        <v>596</v>
      </c>
    </row>
    <row r="153" spans="1:4">
      <c r="A153" s="209"/>
      <c r="B153" s="210" t="s">
        <v>597</v>
      </c>
      <c r="C153" s="211" t="s">
        <v>456</v>
      </c>
      <c r="D153" s="212" t="s">
        <v>598</v>
      </c>
    </row>
    <row r="154" spans="1:4" hidden="1">
      <c r="A154" s="209"/>
      <c r="B154" s="209"/>
      <c r="C154" s="213" t="s">
        <v>599</v>
      </c>
    </row>
    <row r="155" spans="1:4" hidden="1">
      <c r="A155" s="209"/>
      <c r="C155" s="213" t="s">
        <v>600</v>
      </c>
    </row>
    <row r="156" spans="1:4" hidden="1">
      <c r="A156" s="209"/>
      <c r="B156">
        <v>41</v>
      </c>
      <c r="C156" s="213" t="s">
        <v>601</v>
      </c>
    </row>
    <row r="157" spans="1:4" hidden="1">
      <c r="A157" s="209"/>
      <c r="B157" s="209"/>
      <c r="C157" s="213" t="s">
        <v>602</v>
      </c>
    </row>
    <row r="158" spans="1:4" hidden="1">
      <c r="A158" s="209"/>
      <c r="B158" s="209"/>
      <c r="C158" s="213" t="s">
        <v>603</v>
      </c>
    </row>
    <row r="159" spans="1:4" hidden="1">
      <c r="A159" s="209"/>
      <c r="B159" s="209"/>
      <c r="C159" s="213" t="s">
        <v>604</v>
      </c>
    </row>
    <row r="160" spans="1:4" hidden="1">
      <c r="A160" s="209"/>
      <c r="B160" s="209"/>
      <c r="C160" s="213" t="s">
        <v>605</v>
      </c>
    </row>
    <row r="161" spans="1:4" hidden="1">
      <c r="A161" s="209"/>
      <c r="B161" s="209"/>
      <c r="C161" s="213" t="s">
        <v>606</v>
      </c>
    </row>
    <row r="162" spans="1:4">
      <c r="A162" s="209"/>
      <c r="B162" s="214">
        <v>20200</v>
      </c>
      <c r="C162" t="s">
        <v>607</v>
      </c>
      <c r="D162" s="214">
        <v>20200</v>
      </c>
    </row>
    <row r="163" spans="1:4">
      <c r="A163" s="209"/>
      <c r="B163" s="215">
        <v>10000</v>
      </c>
      <c r="C163" s="216" t="s">
        <v>608</v>
      </c>
      <c r="D163" s="215">
        <v>10000</v>
      </c>
    </row>
    <row r="164" spans="1:4">
      <c r="A164" s="209"/>
      <c r="B164" s="217">
        <v>11000</v>
      </c>
      <c r="C164" s="218" t="s">
        <v>609</v>
      </c>
      <c r="D164" s="217">
        <v>11000</v>
      </c>
    </row>
    <row r="165" spans="1:4">
      <c r="A165" s="209"/>
      <c r="B165" s="217">
        <v>11051</v>
      </c>
      <c r="C165" s="218" t="s">
        <v>610</v>
      </c>
      <c r="D165" s="217">
        <v>11051</v>
      </c>
    </row>
    <row r="166" spans="1:4">
      <c r="B166" s="217">
        <v>11064</v>
      </c>
      <c r="C166" s="218" t="s">
        <v>611</v>
      </c>
      <c r="D166" s="217">
        <v>11064</v>
      </c>
    </row>
    <row r="167" spans="1:4">
      <c r="B167" s="217">
        <v>12000</v>
      </c>
      <c r="C167" s="218" t="s">
        <v>612</v>
      </c>
      <c r="D167" s="217">
        <v>12000</v>
      </c>
    </row>
    <row r="168" spans="1:4">
      <c r="B168" s="217">
        <v>12200</v>
      </c>
      <c r="C168" s="817" t="s">
        <v>613</v>
      </c>
      <c r="D168" s="217">
        <v>12200</v>
      </c>
    </row>
    <row r="169" spans="1:4">
      <c r="B169" s="217">
        <v>12247</v>
      </c>
      <c r="C169" s="817" t="s">
        <v>614</v>
      </c>
      <c r="D169" s="217">
        <v>12247</v>
      </c>
    </row>
    <row r="170" spans="1:4">
      <c r="B170" s="217">
        <v>12267</v>
      </c>
      <c r="C170" s="218" t="s">
        <v>615</v>
      </c>
      <c r="D170" s="217">
        <v>12267</v>
      </c>
    </row>
    <row r="171" spans="1:4">
      <c r="B171" s="217">
        <v>12300</v>
      </c>
      <c r="C171" s="817" t="s">
        <v>616</v>
      </c>
      <c r="D171" s="217">
        <v>12300</v>
      </c>
    </row>
    <row r="172" spans="1:4">
      <c r="B172" s="217">
        <v>13000</v>
      </c>
      <c r="C172" s="218" t="s">
        <v>617</v>
      </c>
      <c r="D172" s="217">
        <v>13000</v>
      </c>
    </row>
    <row r="173" spans="1:4">
      <c r="B173" s="217">
        <v>14000</v>
      </c>
      <c r="C173" s="218" t="s">
        <v>618</v>
      </c>
      <c r="D173" s="217">
        <v>14000</v>
      </c>
    </row>
    <row r="174" spans="1:4">
      <c r="B174" s="217">
        <v>14100</v>
      </c>
      <c r="C174" s="218" t="s">
        <v>619</v>
      </c>
      <c r="D174" s="217">
        <v>14100</v>
      </c>
    </row>
    <row r="175" spans="1:4">
      <c r="B175" s="217">
        <v>14153</v>
      </c>
      <c r="C175" s="218" t="s">
        <v>620</v>
      </c>
      <c r="D175" s="217">
        <v>14153</v>
      </c>
    </row>
    <row r="176" spans="1:4">
      <c r="B176" s="217">
        <v>14154</v>
      </c>
      <c r="C176" s="218" t="s">
        <v>621</v>
      </c>
      <c r="D176" s="217">
        <v>14154</v>
      </c>
    </row>
    <row r="177" spans="2:4">
      <c r="B177" s="217">
        <v>14155</v>
      </c>
      <c r="C177" s="218" t="s">
        <v>622</v>
      </c>
      <c r="D177" s="217">
        <v>14155</v>
      </c>
    </row>
    <row r="178" spans="2:4">
      <c r="B178" s="217">
        <v>14200</v>
      </c>
      <c r="C178" s="218" t="s">
        <v>623</v>
      </c>
      <c r="D178" s="217">
        <v>14200</v>
      </c>
    </row>
    <row r="179" spans="2:4">
      <c r="B179" s="217">
        <v>15300</v>
      </c>
      <c r="C179" s="218" t="s">
        <v>624</v>
      </c>
      <c r="D179" s="217">
        <v>15300</v>
      </c>
    </row>
    <row r="180" spans="2:4">
      <c r="B180" s="217">
        <v>19000</v>
      </c>
      <c r="C180" s="218" t="s">
        <v>625</v>
      </c>
      <c r="D180" s="217">
        <v>19000</v>
      </c>
    </row>
    <row r="181" spans="2:4">
      <c r="B181" s="215">
        <v>20000</v>
      </c>
      <c r="C181" s="216" t="s">
        <v>626</v>
      </c>
      <c r="D181" s="215">
        <v>20000</v>
      </c>
    </row>
    <row r="182" spans="2:4">
      <c r="B182" s="217">
        <v>20100</v>
      </c>
      <c r="C182" s="218" t="s">
        <v>627</v>
      </c>
      <c r="D182" s="217">
        <v>20100</v>
      </c>
    </row>
    <row r="183" spans="2:4">
      <c r="B183" s="217">
        <v>20101</v>
      </c>
      <c r="C183" s="218" t="s">
        <v>628</v>
      </c>
      <c r="D183" s="217">
        <v>20101</v>
      </c>
    </row>
    <row r="184" spans="2:4">
      <c r="B184" s="217">
        <v>20102</v>
      </c>
      <c r="C184" s="218" t="s">
        <v>629</v>
      </c>
      <c r="D184" s="217">
        <v>20102</v>
      </c>
    </row>
    <row r="185" spans="2:4">
      <c r="B185" s="217">
        <v>20103</v>
      </c>
      <c r="C185" s="218" t="s">
        <v>630</v>
      </c>
      <c r="D185" s="217">
        <v>20103</v>
      </c>
    </row>
    <row r="186" spans="2:4">
      <c r="B186" s="217">
        <v>20104</v>
      </c>
      <c r="C186" s="218" t="s">
        <v>631</v>
      </c>
      <c r="D186" s="217">
        <v>20104</v>
      </c>
    </row>
    <row r="187" spans="2:4">
      <c r="B187" s="217">
        <v>20105</v>
      </c>
      <c r="C187" s="218" t="s">
        <v>632</v>
      </c>
      <c r="D187" s="217">
        <v>20105</v>
      </c>
    </row>
    <row r="188" spans="2:4">
      <c r="B188" s="217">
        <v>20106</v>
      </c>
      <c r="C188" s="218" t="s">
        <v>633</v>
      </c>
      <c r="D188" s="217">
        <v>20106</v>
      </c>
    </row>
    <row r="189" spans="2:4">
      <c r="B189" s="217">
        <v>20107</v>
      </c>
      <c r="C189" s="218" t="s">
        <v>634</v>
      </c>
      <c r="D189" s="217">
        <v>20107</v>
      </c>
    </row>
    <row r="190" spans="2:4">
      <c r="B190" s="217">
        <v>20108</v>
      </c>
      <c r="C190" s="218" t="s">
        <v>635</v>
      </c>
      <c r="D190" s="217">
        <v>20108</v>
      </c>
    </row>
    <row r="191" spans="2:4">
      <c r="B191" s="217">
        <v>20109</v>
      </c>
      <c r="C191" s="218" t="s">
        <v>636</v>
      </c>
      <c r="D191" s="217">
        <v>20109</v>
      </c>
    </row>
    <row r="192" spans="2:4">
      <c r="B192" s="217">
        <v>20110</v>
      </c>
      <c r="C192" s="218" t="s">
        <v>637</v>
      </c>
      <c r="D192" s="217">
        <v>20110</v>
      </c>
    </row>
    <row r="193" spans="2:4">
      <c r="B193" s="217">
        <v>20111</v>
      </c>
      <c r="C193" s="218" t="s">
        <v>638</v>
      </c>
      <c r="D193" s="217">
        <v>20111</v>
      </c>
    </row>
    <row r="194" spans="2:4">
      <c r="B194" s="217">
        <v>20112</v>
      </c>
      <c r="C194" s="218" t="s">
        <v>639</v>
      </c>
      <c r="D194" s="217">
        <v>20112</v>
      </c>
    </row>
    <row r="195" spans="2:4">
      <c r="B195" s="217">
        <v>20113</v>
      </c>
      <c r="C195" s="218" t="s">
        <v>640</v>
      </c>
      <c r="D195" s="217">
        <v>20113</v>
      </c>
    </row>
    <row r="196" spans="2:4">
      <c r="B196" s="217">
        <v>20114</v>
      </c>
      <c r="C196" s="218" t="s">
        <v>641</v>
      </c>
      <c r="D196" s="217">
        <v>20114</v>
      </c>
    </row>
    <row r="197" spans="2:4">
      <c r="B197" s="217">
        <v>20115</v>
      </c>
      <c r="C197" s="218" t="s">
        <v>642</v>
      </c>
      <c r="D197" s="217">
        <v>20115</v>
      </c>
    </row>
    <row r="198" spans="2:4">
      <c r="B198" s="217">
        <v>20120</v>
      </c>
      <c r="C198" s="218" t="s">
        <v>643</v>
      </c>
      <c r="D198" s="217">
        <v>20120</v>
      </c>
    </row>
    <row r="199" spans="2:4">
      <c r="B199" s="217">
        <v>20121</v>
      </c>
      <c r="C199" s="218" t="s">
        <v>644</v>
      </c>
      <c r="D199" s="217">
        <v>20121</v>
      </c>
    </row>
    <row r="200" spans="2:4">
      <c r="B200" s="217">
        <v>20200</v>
      </c>
      <c r="C200" s="218" t="s">
        <v>607</v>
      </c>
      <c r="D200" s="217">
        <v>20200</v>
      </c>
    </row>
    <row r="201" spans="2:4">
      <c r="B201" s="217">
        <v>20201</v>
      </c>
      <c r="C201" s="218" t="s">
        <v>645</v>
      </c>
      <c r="D201" s="217">
        <v>20201</v>
      </c>
    </row>
    <row r="202" spans="2:4">
      <c r="B202" s="217">
        <v>20202</v>
      </c>
      <c r="C202" s="218" t="s">
        <v>646</v>
      </c>
      <c r="D202" s="217">
        <v>20202</v>
      </c>
    </row>
    <row r="203" spans="2:4">
      <c r="B203" s="217">
        <v>20210</v>
      </c>
      <c r="C203" s="218" t="s">
        <v>647</v>
      </c>
      <c r="D203" s="217">
        <v>20210</v>
      </c>
    </row>
    <row r="204" spans="2:4">
      <c r="B204" s="217">
        <v>20211</v>
      </c>
      <c r="C204" s="218" t="s">
        <v>648</v>
      </c>
      <c r="D204" s="217">
        <v>20211</v>
      </c>
    </row>
    <row r="205" spans="2:4">
      <c r="B205" s="217">
        <v>20217</v>
      </c>
      <c r="C205" s="218" t="s">
        <v>649</v>
      </c>
      <c r="D205" s="217">
        <v>20217</v>
      </c>
    </row>
    <row r="206" spans="2:4">
      <c r="B206" s="217">
        <v>20600</v>
      </c>
      <c r="C206" s="218" t="s">
        <v>650</v>
      </c>
      <c r="D206" s="217">
        <v>20600</v>
      </c>
    </row>
    <row r="207" spans="2:4">
      <c r="B207" s="217">
        <v>20601</v>
      </c>
      <c r="C207" s="218" t="s">
        <v>651</v>
      </c>
      <c r="D207" s="217">
        <v>20601</v>
      </c>
    </row>
    <row r="208" spans="2:4">
      <c r="B208" s="217">
        <v>20603</v>
      </c>
      <c r="C208" s="218" t="s">
        <v>652</v>
      </c>
      <c r="D208" s="217">
        <v>20603</v>
      </c>
    </row>
    <row r="209" spans="2:4">
      <c r="B209" s="217">
        <v>20604</v>
      </c>
      <c r="C209" s="218" t="s">
        <v>653</v>
      </c>
      <c r="D209" s="217">
        <v>20604</v>
      </c>
    </row>
    <row r="210" spans="2:4">
      <c r="B210" s="217">
        <v>20605</v>
      </c>
      <c r="C210" s="218" t="s">
        <v>654</v>
      </c>
      <c r="D210" s="217">
        <v>20605</v>
      </c>
    </row>
    <row r="211" spans="2:4">
      <c r="B211" s="217">
        <v>20606</v>
      </c>
      <c r="C211" s="218" t="s">
        <v>655</v>
      </c>
      <c r="D211" s="217">
        <v>20606</v>
      </c>
    </row>
    <row r="212" spans="2:4">
      <c r="B212" s="217">
        <v>20607</v>
      </c>
      <c r="C212" s="218" t="s">
        <v>656</v>
      </c>
      <c r="D212" s="217">
        <v>20607</v>
      </c>
    </row>
    <row r="213" spans="2:4">
      <c r="B213" s="217">
        <v>20608</v>
      </c>
      <c r="C213" s="218" t="s">
        <v>657</v>
      </c>
      <c r="D213" s="217">
        <v>20608</v>
      </c>
    </row>
    <row r="214" spans="2:4">
      <c r="B214" s="217">
        <v>20609</v>
      </c>
      <c r="C214" s="218" t="s">
        <v>658</v>
      </c>
      <c r="D214" s="217">
        <v>20609</v>
      </c>
    </row>
    <row r="215" spans="2:4">
      <c r="B215" s="217">
        <v>20610</v>
      </c>
      <c r="C215" s="218" t="s">
        <v>659</v>
      </c>
      <c r="D215" s="217">
        <v>20610</v>
      </c>
    </row>
    <row r="216" spans="2:4">
      <c r="B216" s="217">
        <v>20611</v>
      </c>
      <c r="C216" s="218" t="s">
        <v>660</v>
      </c>
      <c r="D216" s="217">
        <v>20611</v>
      </c>
    </row>
    <row r="217" spans="2:4">
      <c r="B217" s="217">
        <v>20612</v>
      </c>
      <c r="C217" s="218" t="s">
        <v>661</v>
      </c>
      <c r="D217" s="217">
        <v>20612</v>
      </c>
    </row>
    <row r="218" spans="2:4">
      <c r="B218" s="217">
        <v>20613</v>
      </c>
      <c r="C218" s="218" t="s">
        <v>662</v>
      </c>
      <c r="D218" s="217">
        <v>20613</v>
      </c>
    </row>
    <row r="219" spans="2:4">
      <c r="B219" s="217">
        <v>20614</v>
      </c>
      <c r="C219" s="218" t="s">
        <v>663</v>
      </c>
      <c r="D219" s="217">
        <v>20614</v>
      </c>
    </row>
    <row r="220" spans="2:4">
      <c r="B220" s="217">
        <v>20615</v>
      </c>
      <c r="C220" s="218" t="s">
        <v>664</v>
      </c>
      <c r="D220" s="217">
        <v>20615</v>
      </c>
    </row>
    <row r="221" spans="2:4">
      <c r="B221" s="217">
        <v>20616</v>
      </c>
      <c r="C221" s="218" t="s">
        <v>665</v>
      </c>
      <c r="D221" s="217">
        <v>20616</v>
      </c>
    </row>
    <row r="222" spans="2:4">
      <c r="B222" s="217">
        <v>20617</v>
      </c>
      <c r="C222" s="218" t="s">
        <v>666</v>
      </c>
      <c r="D222" s="217">
        <v>20617</v>
      </c>
    </row>
    <row r="223" spans="2:4">
      <c r="B223" s="217">
        <v>20618</v>
      </c>
      <c r="C223" s="218" t="s">
        <v>667</v>
      </c>
      <c r="D223" s="217">
        <v>20618</v>
      </c>
    </row>
    <row r="224" spans="2:4">
      <c r="B224" s="217">
        <v>20619</v>
      </c>
      <c r="C224" s="218" t="s">
        <v>668</v>
      </c>
      <c r="D224" s="217">
        <v>20619</v>
      </c>
    </row>
    <row r="225" spans="2:4">
      <c r="B225" s="217">
        <v>20620</v>
      </c>
      <c r="C225" s="218" t="s">
        <v>669</v>
      </c>
      <c r="D225" s="217">
        <v>20620</v>
      </c>
    </row>
    <row r="226" spans="2:4">
      <c r="B226" s="217">
        <v>20700</v>
      </c>
      <c r="C226" s="218" t="s">
        <v>670</v>
      </c>
      <c r="D226" s="217">
        <v>20700</v>
      </c>
    </row>
    <row r="227" spans="2:4">
      <c r="B227" s="217">
        <v>20701</v>
      </c>
      <c r="C227" s="218" t="s">
        <v>671</v>
      </c>
      <c r="D227" s="217">
        <v>20701</v>
      </c>
    </row>
    <row r="228" spans="2:4">
      <c r="B228" s="217">
        <v>20716</v>
      </c>
      <c r="C228" s="218" t="s">
        <v>672</v>
      </c>
      <c r="D228" s="217">
        <v>20716</v>
      </c>
    </row>
    <row r="229" spans="2:4">
      <c r="B229" s="217">
        <v>21100</v>
      </c>
      <c r="C229" s="218" t="s">
        <v>673</v>
      </c>
      <c r="D229" s="217">
        <v>21100</v>
      </c>
    </row>
    <row r="230" spans="2:4">
      <c r="B230" s="217">
        <v>21200</v>
      </c>
      <c r="C230" s="218" t="s">
        <v>674</v>
      </c>
      <c r="D230" s="217">
        <v>21200</v>
      </c>
    </row>
    <row r="231" spans="2:4">
      <c r="B231" s="215">
        <v>30000</v>
      </c>
      <c r="C231" s="216" t="s">
        <v>675</v>
      </c>
      <c r="D231" s="215">
        <v>30000</v>
      </c>
    </row>
    <row r="232" spans="2:4">
      <c r="B232" s="217">
        <v>30001</v>
      </c>
      <c r="C232" s="218" t="s">
        <v>676</v>
      </c>
      <c r="D232" s="217">
        <v>30001</v>
      </c>
    </row>
    <row r="233" spans="2:4">
      <c r="B233" s="217">
        <v>30002</v>
      </c>
      <c r="C233" s="218" t="s">
        <v>677</v>
      </c>
      <c r="D233" s="217">
        <v>30002</v>
      </c>
    </row>
    <row r="234" spans="2:4">
      <c r="B234" s="217">
        <v>30003</v>
      </c>
      <c r="C234" s="218" t="s">
        <v>678</v>
      </c>
      <c r="D234" s="217">
        <v>30003</v>
      </c>
    </row>
    <row r="235" spans="2:4">
      <c r="B235" s="217">
        <v>30004</v>
      </c>
      <c r="C235" s="218" t="s">
        <v>679</v>
      </c>
      <c r="D235" s="217">
        <v>30004</v>
      </c>
    </row>
    <row r="236" spans="2:4">
      <c r="B236" s="217">
        <v>30005</v>
      </c>
      <c r="C236" s="218" t="s">
        <v>680</v>
      </c>
      <c r="D236" s="217">
        <v>30005</v>
      </c>
    </row>
    <row r="237" spans="2:4">
      <c r="B237" s="217">
        <v>30006</v>
      </c>
      <c r="C237" s="218" t="s">
        <v>681</v>
      </c>
      <c r="D237" s="217">
        <v>30006</v>
      </c>
    </row>
    <row r="238" spans="2:4">
      <c r="B238" s="217">
        <v>30008</v>
      </c>
      <c r="C238" s="218" t="s">
        <v>682</v>
      </c>
      <c r="D238" s="217">
        <v>30008</v>
      </c>
    </row>
    <row r="239" spans="2:4">
      <c r="B239" s="215">
        <v>40000</v>
      </c>
      <c r="C239" s="216" t="s">
        <v>683</v>
      </c>
      <c r="D239" s="215">
        <v>40000</v>
      </c>
    </row>
    <row r="240" spans="2:4">
      <c r="B240" s="217">
        <v>40001</v>
      </c>
      <c r="C240" s="218" t="s">
        <v>684</v>
      </c>
      <c r="D240" s="217">
        <v>40001</v>
      </c>
    </row>
    <row r="241" spans="2:4">
      <c r="B241" s="217">
        <v>40002</v>
      </c>
      <c r="C241" s="218" t="s">
        <v>685</v>
      </c>
      <c r="D241" s="217">
        <v>40002</v>
      </c>
    </row>
    <row r="242" spans="2:4">
      <c r="B242" s="215">
        <v>50000</v>
      </c>
      <c r="C242" s="216" t="s">
        <v>686</v>
      </c>
      <c r="D242" s="215">
        <v>50000</v>
      </c>
    </row>
    <row r="243" spans="2:4">
      <c r="B243" s="217">
        <v>50100</v>
      </c>
      <c r="C243" s="218" t="s">
        <v>687</v>
      </c>
      <c r="D243" s="217">
        <v>50100</v>
      </c>
    </row>
    <row r="244" spans="2:4">
      <c r="B244" s="217">
        <v>50101</v>
      </c>
      <c r="C244" s="218" t="s">
        <v>688</v>
      </c>
      <c r="D244" s="217">
        <v>50101</v>
      </c>
    </row>
    <row r="245" spans="2:4">
      <c r="B245" s="217">
        <v>50102</v>
      </c>
      <c r="C245" s="218" t="s">
        <v>689</v>
      </c>
      <c r="D245" s="217">
        <v>50102</v>
      </c>
    </row>
    <row r="246" spans="2:4">
      <c r="B246" s="217">
        <v>50200</v>
      </c>
      <c r="C246" s="218" t="s">
        <v>690</v>
      </c>
      <c r="D246" s="217">
        <v>50200</v>
      </c>
    </row>
    <row r="247" spans="2:4">
      <c r="B247" s="217">
        <v>50201</v>
      </c>
      <c r="C247" s="218" t="s">
        <v>691</v>
      </c>
      <c r="D247" s="217">
        <v>50201</v>
      </c>
    </row>
    <row r="248" spans="2:4">
      <c r="B248" s="217">
        <v>50202</v>
      </c>
      <c r="C248" s="218" t="s">
        <v>692</v>
      </c>
      <c r="D248" s="217">
        <v>50202</v>
      </c>
    </row>
    <row r="249" spans="2:4">
      <c r="B249" s="215">
        <v>60000</v>
      </c>
      <c r="C249" s="216" t="s">
        <v>693</v>
      </c>
      <c r="D249" s="215">
        <v>60000</v>
      </c>
    </row>
    <row r="250" spans="2:4">
      <c r="B250" s="217">
        <v>65000</v>
      </c>
      <c r="C250" s="218" t="s">
        <v>694</v>
      </c>
      <c r="D250" s="217">
        <v>65000</v>
      </c>
    </row>
    <row r="251" spans="2:4">
      <c r="B251" s="217">
        <v>65100</v>
      </c>
      <c r="C251" s="218" t="s">
        <v>695</v>
      </c>
      <c r="D251" s="217">
        <v>65100</v>
      </c>
    </row>
    <row r="252" spans="2:4">
      <c r="B252" s="217">
        <v>65141</v>
      </c>
      <c r="C252" s="218" t="s">
        <v>696</v>
      </c>
      <c r="D252" s="217">
        <v>65141</v>
      </c>
    </row>
    <row r="253" spans="2:4">
      <c r="B253" s="217">
        <v>65142</v>
      </c>
      <c r="C253" s="218" t="s">
        <v>697</v>
      </c>
      <c r="D253" s="217">
        <v>65142</v>
      </c>
    </row>
    <row r="254" spans="2:4">
      <c r="B254" s="217">
        <v>65143</v>
      </c>
      <c r="C254" s="218" t="s">
        <v>698</v>
      </c>
      <c r="D254" s="217">
        <v>65143</v>
      </c>
    </row>
    <row r="255" spans="2:4">
      <c r="B255" s="217">
        <v>65200</v>
      </c>
      <c r="C255" s="218" t="s">
        <v>699</v>
      </c>
      <c r="D255" s="217">
        <v>65200</v>
      </c>
    </row>
    <row r="256" spans="2:4">
      <c r="B256" s="217">
        <v>65241</v>
      </c>
      <c r="C256" s="218" t="s">
        <v>700</v>
      </c>
      <c r="D256" s="217">
        <v>65241</v>
      </c>
    </row>
    <row r="257" spans="2:4">
      <c r="B257" s="217">
        <v>65242</v>
      </c>
      <c r="C257" s="218" t="s">
        <v>701</v>
      </c>
      <c r="D257" s="217">
        <v>65242</v>
      </c>
    </row>
    <row r="258" spans="2:4">
      <c r="B258" s="217">
        <v>65243</v>
      </c>
      <c r="C258" s="218" t="s">
        <v>702</v>
      </c>
      <c r="D258" s="217">
        <v>65243</v>
      </c>
    </row>
    <row r="259" spans="2:4">
      <c r="B259" s="215">
        <v>70000</v>
      </c>
      <c r="C259" s="216" t="s">
        <v>703</v>
      </c>
      <c r="D259" s="215">
        <v>70000</v>
      </c>
    </row>
    <row r="260" spans="2:4">
      <c r="B260" s="217">
        <v>70400</v>
      </c>
      <c r="C260" s="218" t="s">
        <v>704</v>
      </c>
      <c r="D260" s="217">
        <v>70400</v>
      </c>
    </row>
    <row r="261" spans="2:4">
      <c r="B261" s="217">
        <v>70401</v>
      </c>
      <c r="C261" s="218" t="s">
        <v>705</v>
      </c>
      <c r="D261" s="217">
        <v>70401</v>
      </c>
    </row>
    <row r="262" spans="2:4">
      <c r="B262" s="217">
        <v>70402</v>
      </c>
      <c r="C262" s="218" t="s">
        <v>706</v>
      </c>
      <c r="D262" s="217">
        <v>70402</v>
      </c>
    </row>
    <row r="263" spans="2:4">
      <c r="B263" s="217">
        <v>70403</v>
      </c>
      <c r="C263" s="218" t="s">
        <v>707</v>
      </c>
      <c r="D263" s="217">
        <v>70403</v>
      </c>
    </row>
    <row r="264" spans="2:4">
      <c r="B264" s="217">
        <v>70404</v>
      </c>
      <c r="C264" s="218" t="s">
        <v>708</v>
      </c>
      <c r="D264" s="217">
        <v>70404</v>
      </c>
    </row>
    <row r="265" spans="2:4">
      <c r="B265" s="217">
        <v>71400</v>
      </c>
      <c r="C265" s="218" t="s">
        <v>709</v>
      </c>
      <c r="D265" s="217">
        <v>71400</v>
      </c>
    </row>
    <row r="266" spans="2:4">
      <c r="B266" s="217">
        <v>71500</v>
      </c>
      <c r="C266" s="218" t="s">
        <v>710</v>
      </c>
      <c r="D266" s="217">
        <v>71500</v>
      </c>
    </row>
    <row r="267" spans="2:4">
      <c r="B267" s="217">
        <v>71600</v>
      </c>
      <c r="C267" s="218" t="s">
        <v>711</v>
      </c>
      <c r="D267" s="217">
        <v>71600</v>
      </c>
    </row>
    <row r="268" spans="2:4">
      <c r="B268" s="217">
        <v>71601</v>
      </c>
      <c r="C268" s="218" t="s">
        <v>712</v>
      </c>
      <c r="D268" s="217">
        <v>71601</v>
      </c>
    </row>
    <row r="269" spans="2:4">
      <c r="B269" s="217">
        <v>71602</v>
      </c>
      <c r="C269" s="218" t="s">
        <v>713</v>
      </c>
      <c r="D269" s="217">
        <v>71602</v>
      </c>
    </row>
    <row r="270" spans="2:4">
      <c r="B270" s="217">
        <v>71610</v>
      </c>
      <c r="C270" s="218" t="s">
        <v>714</v>
      </c>
      <c r="D270" s="217">
        <v>71610</v>
      </c>
    </row>
    <row r="271" spans="2:4">
      <c r="B271" s="217">
        <v>75000</v>
      </c>
      <c r="C271" s="218" t="s">
        <v>715</v>
      </c>
      <c r="D271" s="217">
        <v>75000</v>
      </c>
    </row>
    <row r="272" spans="2:4">
      <c r="B272" s="217">
        <v>75100</v>
      </c>
      <c r="C272" s="218" t="s">
        <v>716</v>
      </c>
      <c r="D272" s="217">
        <v>75100</v>
      </c>
    </row>
    <row r="273" spans="2:4">
      <c r="B273" s="217">
        <v>75101</v>
      </c>
      <c r="C273" s="218" t="s">
        <v>717</v>
      </c>
      <c r="D273" s="217">
        <v>75101</v>
      </c>
    </row>
    <row r="274" spans="2:4">
      <c r="B274" s="217">
        <v>75103</v>
      </c>
      <c r="C274" s="218" t="s">
        <v>718</v>
      </c>
      <c r="D274" s="217">
        <v>75103</v>
      </c>
    </row>
    <row r="275" spans="2:4">
      <c r="B275" s="217">
        <v>75104</v>
      </c>
      <c r="C275" s="218" t="s">
        <v>719</v>
      </c>
      <c r="D275" s="217">
        <v>75104</v>
      </c>
    </row>
    <row r="276" spans="2:4">
      <c r="B276" s="217">
        <v>75200</v>
      </c>
      <c r="C276" s="218" t="s">
        <v>720</v>
      </c>
      <c r="D276" s="217">
        <v>75200</v>
      </c>
    </row>
    <row r="277" spans="2:4">
      <c r="B277" s="217">
        <v>75201</v>
      </c>
      <c r="C277" s="218" t="s">
        <v>721</v>
      </c>
      <c r="D277" s="217">
        <v>75201</v>
      </c>
    </row>
    <row r="278" spans="2:4">
      <c r="B278" s="217">
        <v>75203</v>
      </c>
      <c r="C278" s="218" t="s">
        <v>722</v>
      </c>
      <c r="D278" s="217">
        <v>75203</v>
      </c>
    </row>
    <row r="279" spans="2:4">
      <c r="B279" s="217">
        <v>75204</v>
      </c>
      <c r="C279" s="218" t="s">
        <v>723</v>
      </c>
      <c r="D279" s="217">
        <v>75204</v>
      </c>
    </row>
    <row r="280" spans="2:4">
      <c r="B280" s="217">
        <v>75300</v>
      </c>
      <c r="C280" s="218" t="s">
        <v>724</v>
      </c>
      <c r="D280" s="217">
        <v>75300</v>
      </c>
    </row>
    <row r="281" spans="2:4">
      <c r="B281" s="217">
        <v>75400</v>
      </c>
      <c r="C281" s="218" t="s">
        <v>725</v>
      </c>
      <c r="D281" s="217">
        <v>75400</v>
      </c>
    </row>
    <row r="282" spans="2:4">
      <c r="B282" s="217">
        <v>75401</v>
      </c>
      <c r="C282" s="218" t="s">
        <v>726</v>
      </c>
      <c r="D282" s="217">
        <v>75401</v>
      </c>
    </row>
    <row r="283" spans="2:4">
      <c r="B283" s="217">
        <v>75403</v>
      </c>
      <c r="C283" s="218" t="s">
        <v>727</v>
      </c>
      <c r="D283" s="217">
        <v>75403</v>
      </c>
    </row>
    <row r="284" spans="2:4">
      <c r="B284" s="217">
        <v>75404</v>
      </c>
      <c r="C284" s="218" t="s">
        <v>728</v>
      </c>
      <c r="D284" s="217">
        <v>75404</v>
      </c>
    </row>
    <row r="285" spans="2:4">
      <c r="B285" s="217">
        <v>75500</v>
      </c>
      <c r="C285" s="218" t="s">
        <v>729</v>
      </c>
      <c r="D285" s="217">
        <v>75500</v>
      </c>
    </row>
    <row r="286" spans="2:4">
      <c r="B286" s="217">
        <v>75502</v>
      </c>
      <c r="C286" s="218" t="s">
        <v>730</v>
      </c>
      <c r="D286" s="217">
        <v>75502</v>
      </c>
    </row>
    <row r="287" spans="2:4">
      <c r="B287" s="217">
        <v>75505</v>
      </c>
      <c r="C287" s="218" t="s">
        <v>731</v>
      </c>
      <c r="D287" s="217">
        <v>75505</v>
      </c>
    </row>
  </sheetData>
  <pageMargins left="0.51181102362204722" right="0.51181102362204722" top="0.55118110236220474" bottom="0.55118110236220474" header="0.31496062992125984" footer="0.31496062992125984"/>
  <pageSetup paperSize="9" scale="5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6" tint="0.59999389629810485"/>
  </sheetPr>
  <dimension ref="B1:DP31"/>
  <sheetViews>
    <sheetView zoomScale="85" zoomScaleNormal="85" zoomScaleSheetLayoutView="100" workbookViewId="0">
      <selection activeCell="CU28" sqref="CU28"/>
    </sheetView>
  </sheetViews>
  <sheetFormatPr defaultColWidth="0.85546875" defaultRowHeight="12.75"/>
  <cols>
    <col min="1" max="15" width="0.85546875" style="511"/>
    <col min="16" max="16" width="2" style="511" customWidth="1"/>
    <col min="17" max="16384" width="0.85546875" style="511"/>
  </cols>
  <sheetData>
    <row r="1" spans="2:120" ht="12" customHeight="1"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510"/>
      <c r="AE1" s="510"/>
      <c r="AF1" s="510"/>
      <c r="AG1" s="510"/>
      <c r="AH1" s="510"/>
      <c r="AI1" s="510"/>
      <c r="AJ1" s="510"/>
      <c r="AK1" s="510"/>
      <c r="AL1" s="510"/>
      <c r="AM1" s="510"/>
      <c r="AN1" s="510"/>
      <c r="AO1" s="510"/>
      <c r="AP1" s="510"/>
      <c r="AQ1" s="510"/>
      <c r="AR1" s="510"/>
      <c r="AS1" s="510"/>
      <c r="AT1" s="510"/>
      <c r="AU1" s="510"/>
      <c r="AV1" s="510"/>
      <c r="AW1" s="510"/>
      <c r="AX1" s="510"/>
      <c r="AY1" s="510"/>
      <c r="AZ1" s="510"/>
      <c r="BA1" s="510"/>
      <c r="BB1" s="510"/>
      <c r="BC1" s="510"/>
      <c r="BD1" s="510"/>
      <c r="BE1" s="510"/>
      <c r="BF1" s="510"/>
      <c r="BG1" s="510"/>
      <c r="BH1" s="510"/>
      <c r="BI1" s="510"/>
      <c r="BJ1" s="510"/>
      <c r="BK1" s="510"/>
      <c r="BL1" s="510"/>
      <c r="BM1" s="510"/>
      <c r="BN1" s="510"/>
      <c r="BO1" s="510"/>
      <c r="BP1" s="510"/>
      <c r="BQ1" s="510"/>
      <c r="BR1" s="510"/>
      <c r="BS1" s="510"/>
      <c r="BT1" s="510"/>
      <c r="BU1" s="510"/>
      <c r="BV1" s="510"/>
      <c r="BW1" s="510"/>
      <c r="BX1" s="510"/>
      <c r="BY1" s="510"/>
      <c r="BZ1" s="510"/>
      <c r="CA1" s="510"/>
      <c r="CB1" s="510"/>
      <c r="CC1" s="510"/>
      <c r="CD1" s="510"/>
      <c r="CE1" s="510"/>
      <c r="CF1" s="510"/>
      <c r="CG1" s="510"/>
      <c r="CH1" s="510"/>
      <c r="CI1" s="510"/>
      <c r="CJ1" s="510"/>
      <c r="CK1" s="510"/>
      <c r="CL1" s="510"/>
      <c r="CM1" s="510"/>
      <c r="CN1" s="510"/>
      <c r="CO1" s="510"/>
      <c r="CP1" s="510"/>
      <c r="CQ1" s="510"/>
      <c r="CR1" s="510"/>
      <c r="CS1" s="510"/>
      <c r="CT1" s="510"/>
      <c r="CU1" s="510"/>
      <c r="CV1" s="510"/>
      <c r="CW1" s="510"/>
      <c r="CX1" s="510"/>
      <c r="CY1" s="510"/>
    </row>
    <row r="2" spans="2:120" ht="12" customHeight="1"/>
    <row r="3" spans="2:120" s="512" customFormat="1" ht="13.5" customHeight="1">
      <c r="B3" s="862" t="s">
        <v>985</v>
      </c>
      <c r="C3" s="862"/>
      <c r="D3" s="862"/>
      <c r="E3" s="862"/>
      <c r="F3" s="862"/>
      <c r="G3" s="862"/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/>
      <c r="U3" s="862"/>
      <c r="V3" s="862"/>
      <c r="W3" s="862"/>
      <c r="X3" s="862"/>
      <c r="Y3" s="862"/>
      <c r="Z3" s="862"/>
      <c r="AA3" s="862"/>
      <c r="AB3" s="862"/>
      <c r="AC3" s="862"/>
      <c r="AD3" s="862"/>
      <c r="AE3" s="862"/>
      <c r="AF3" s="862"/>
      <c r="AG3" s="862"/>
      <c r="AH3" s="862"/>
      <c r="AI3" s="862"/>
      <c r="AJ3" s="862"/>
      <c r="AK3" s="862"/>
      <c r="AL3" s="862"/>
      <c r="AM3" s="862"/>
      <c r="AN3" s="862"/>
      <c r="AO3" s="862"/>
      <c r="AP3" s="862"/>
      <c r="AQ3" s="862"/>
      <c r="AR3" s="862"/>
      <c r="AS3" s="862"/>
      <c r="AT3" s="862"/>
      <c r="AU3" s="862"/>
      <c r="AV3" s="862"/>
      <c r="AW3" s="862"/>
      <c r="AX3" s="862"/>
      <c r="AY3" s="862"/>
      <c r="AZ3" s="862"/>
      <c r="BA3" s="862"/>
      <c r="BB3" s="862"/>
      <c r="BC3" s="862"/>
      <c r="BD3" s="862"/>
      <c r="BE3" s="862"/>
      <c r="BF3" s="862"/>
      <c r="BG3" s="862"/>
      <c r="BH3" s="862"/>
      <c r="BI3" s="862"/>
      <c r="BJ3" s="862"/>
      <c r="BK3" s="862"/>
      <c r="BL3" s="862"/>
      <c r="BM3" s="862"/>
      <c r="BN3" s="862"/>
      <c r="BO3" s="862"/>
      <c r="BP3" s="862"/>
      <c r="BQ3" s="862"/>
      <c r="BR3" s="862"/>
      <c r="BS3" s="862"/>
      <c r="BT3" s="862"/>
      <c r="BU3" s="862"/>
      <c r="BV3" s="862"/>
      <c r="BW3" s="862"/>
      <c r="BX3" s="862"/>
      <c r="BY3" s="862"/>
      <c r="BZ3" s="862"/>
      <c r="CA3" s="862"/>
      <c r="CB3" s="862"/>
      <c r="CC3" s="862"/>
      <c r="CD3" s="862"/>
      <c r="CE3" s="862"/>
      <c r="CF3" s="862"/>
      <c r="CG3" s="862"/>
      <c r="CH3" s="862"/>
      <c r="CI3" s="862"/>
      <c r="CJ3" s="862"/>
      <c r="CK3" s="862"/>
      <c r="CL3" s="862"/>
      <c r="CM3" s="862"/>
      <c r="CN3" s="862"/>
      <c r="CO3" s="862"/>
      <c r="CP3" s="862"/>
      <c r="CQ3" s="862"/>
      <c r="CR3" s="862"/>
      <c r="CS3" s="862"/>
      <c r="CT3" s="862"/>
      <c r="CU3" s="862"/>
      <c r="CV3" s="862"/>
      <c r="CW3" s="862"/>
      <c r="CX3" s="862"/>
      <c r="CY3" s="862"/>
      <c r="CZ3" s="862"/>
      <c r="DA3" s="862"/>
      <c r="DB3" s="862"/>
      <c r="DO3" s="524" t="s">
        <v>1020</v>
      </c>
    </row>
    <row r="4" spans="2:120" s="513" customFormat="1" ht="15.75">
      <c r="B4" s="862" t="str">
        <f>"за " &amp; IF(MONTH('Общие сведения'!D2)=3, "январь - март " &amp; YEAR('Общие сведения'!D2) &amp; " года", IF(MONTH('Общие сведения'!D2)=6, "январь - июнь " &amp; YEAR('Общие сведения'!D2) &amp; " года", IF(MONTH('Общие сведения'!D2)=9, "январь - сентябрь " &amp; YEAR('Общие сведения'!D2) &amp; " года", YEAR('Общие сведения'!D2) &amp; " год")))</f>
        <v>за январь - март 2026 года</v>
      </c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862"/>
      <c r="N4" s="862"/>
      <c r="O4" s="862"/>
      <c r="P4" s="862"/>
      <c r="Q4" s="862"/>
      <c r="R4" s="862"/>
      <c r="S4" s="862"/>
      <c r="T4" s="862"/>
      <c r="U4" s="862"/>
      <c r="V4" s="862"/>
      <c r="W4" s="862"/>
      <c r="X4" s="862"/>
      <c r="Y4" s="862"/>
      <c r="Z4" s="862"/>
      <c r="AA4" s="862"/>
      <c r="AB4" s="862"/>
      <c r="AC4" s="862"/>
      <c r="AD4" s="862"/>
      <c r="AE4" s="862"/>
      <c r="AF4" s="862"/>
      <c r="AG4" s="862"/>
      <c r="AH4" s="862"/>
      <c r="AI4" s="862"/>
      <c r="AJ4" s="862"/>
      <c r="AK4" s="862"/>
      <c r="AL4" s="862"/>
      <c r="AM4" s="862"/>
      <c r="AN4" s="862"/>
      <c r="AO4" s="862"/>
      <c r="AP4" s="862"/>
      <c r="AQ4" s="862"/>
      <c r="AR4" s="862"/>
      <c r="AS4" s="862"/>
      <c r="AT4" s="862"/>
      <c r="AU4" s="862"/>
      <c r="AV4" s="862"/>
      <c r="AW4" s="862"/>
      <c r="AX4" s="862"/>
      <c r="AY4" s="862"/>
      <c r="AZ4" s="862"/>
      <c r="BA4" s="862"/>
      <c r="BB4" s="862"/>
      <c r="BC4" s="862"/>
      <c r="BD4" s="862"/>
      <c r="BE4" s="862"/>
      <c r="BF4" s="862"/>
      <c r="BG4" s="862"/>
      <c r="BH4" s="862"/>
      <c r="BI4" s="862"/>
      <c r="BJ4" s="862"/>
      <c r="BK4" s="862"/>
      <c r="BL4" s="862"/>
      <c r="BM4" s="862"/>
      <c r="BN4" s="862"/>
      <c r="BO4" s="862"/>
      <c r="BP4" s="862"/>
      <c r="BQ4" s="862"/>
      <c r="BR4" s="862"/>
      <c r="BS4" s="862"/>
      <c r="BT4" s="862"/>
      <c r="BU4" s="862"/>
      <c r="BV4" s="862"/>
      <c r="BW4" s="862"/>
      <c r="BX4" s="862"/>
      <c r="BY4" s="862"/>
      <c r="BZ4" s="862"/>
      <c r="CA4" s="862"/>
      <c r="CB4" s="862"/>
      <c r="CC4" s="862"/>
      <c r="CD4" s="862"/>
      <c r="CE4" s="862"/>
      <c r="CF4" s="862"/>
      <c r="CG4" s="862"/>
      <c r="CH4" s="862"/>
      <c r="CI4" s="862"/>
      <c r="CJ4" s="862"/>
      <c r="CK4" s="862"/>
      <c r="CL4" s="862"/>
      <c r="CM4" s="862"/>
      <c r="CN4" s="862"/>
      <c r="CO4" s="862"/>
      <c r="CP4" s="862"/>
      <c r="CQ4" s="862"/>
      <c r="CR4" s="862"/>
      <c r="CS4" s="862"/>
      <c r="CT4" s="862"/>
      <c r="CU4" s="862"/>
      <c r="CV4" s="862"/>
      <c r="CW4" s="862"/>
      <c r="CX4" s="862"/>
      <c r="CY4" s="862"/>
      <c r="CZ4" s="862"/>
      <c r="DA4" s="862"/>
      <c r="DB4" s="862"/>
    </row>
    <row r="6" spans="2:120" s="512" customFormat="1" ht="19.5" customHeight="1">
      <c r="B6" s="865" t="s">
        <v>1157</v>
      </c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  <c r="N6" s="865"/>
      <c r="O6" s="865"/>
      <c r="P6" s="865"/>
      <c r="Q6" s="866" t="str">
        <f>IF('Общие сведения'!D18&lt;&gt;"",'Общие сведения'!D18,"")</f>
        <v/>
      </c>
      <c r="R6" s="866"/>
      <c r="S6" s="866"/>
      <c r="T6" s="866"/>
      <c r="U6" s="866"/>
      <c r="V6" s="866"/>
      <c r="W6" s="866"/>
      <c r="X6" s="866"/>
      <c r="Y6" s="866"/>
      <c r="Z6" s="866"/>
      <c r="AA6" s="866"/>
      <c r="AB6" s="866"/>
      <c r="AC6" s="866"/>
      <c r="AD6" s="866"/>
      <c r="AE6" s="866"/>
      <c r="AF6" s="866"/>
      <c r="AG6" s="866"/>
      <c r="AH6" s="866"/>
      <c r="AI6" s="866"/>
      <c r="AJ6" s="866"/>
      <c r="AK6" s="866"/>
      <c r="AL6" s="866"/>
      <c r="AM6" s="866"/>
      <c r="AN6" s="866"/>
      <c r="AO6" s="866"/>
      <c r="AP6" s="866"/>
      <c r="AQ6" s="866"/>
      <c r="AR6" s="866"/>
      <c r="AS6" s="866"/>
      <c r="AT6" s="866"/>
      <c r="AU6" s="866"/>
      <c r="AV6" s="866"/>
      <c r="AW6" s="866"/>
      <c r="AX6" s="866"/>
      <c r="AY6" s="866"/>
      <c r="AZ6" s="866"/>
      <c r="BA6" s="866"/>
      <c r="BB6" s="866"/>
      <c r="BC6" s="866"/>
      <c r="BD6" s="866"/>
      <c r="BE6" s="866"/>
      <c r="BF6" s="866"/>
      <c r="BG6" s="866"/>
      <c r="BH6" s="866"/>
      <c r="BI6" s="866"/>
      <c r="BJ6" s="866"/>
      <c r="BK6" s="866"/>
      <c r="BL6" s="866"/>
      <c r="BM6" s="866"/>
      <c r="BN6" s="866"/>
      <c r="BO6" s="866"/>
      <c r="BP6" s="866"/>
      <c r="BQ6" s="866"/>
      <c r="BR6" s="866"/>
      <c r="BS6" s="866"/>
      <c r="BT6" s="866"/>
      <c r="BU6" s="866"/>
      <c r="BV6" s="514"/>
      <c r="BW6" s="514"/>
      <c r="BX6" s="514"/>
      <c r="BY6" s="864" t="s">
        <v>987</v>
      </c>
      <c r="BZ6" s="864"/>
      <c r="CA6" s="864"/>
      <c r="CB6" s="864"/>
      <c r="CC6" s="864"/>
      <c r="CD6" s="864"/>
      <c r="CE6" s="864"/>
      <c r="CF6" s="864"/>
      <c r="CG6" s="864"/>
      <c r="CH6" s="864"/>
      <c r="CI6" s="864"/>
      <c r="CJ6" s="864"/>
      <c r="CK6" s="864"/>
      <c r="CL6" s="864"/>
      <c r="CN6" s="867" t="str">
        <f>IF('Общие сведения'!D19&lt;&gt;"",'Общие сведения'!D19,"")</f>
        <v/>
      </c>
      <c r="CO6" s="867"/>
      <c r="CP6" s="867"/>
      <c r="CQ6" s="867"/>
      <c r="CR6" s="867"/>
      <c r="CS6" s="867"/>
      <c r="CT6" s="867"/>
      <c r="CU6" s="867"/>
      <c r="CV6" s="867"/>
      <c r="CW6" s="867"/>
      <c r="CX6" s="867"/>
      <c r="CY6" s="867"/>
      <c r="CZ6" s="867"/>
      <c r="DA6" s="867"/>
      <c r="DB6" s="867"/>
      <c r="DP6" s="524"/>
    </row>
    <row r="7" spans="2:120" s="512" customFormat="1" ht="19.5" customHeight="1">
      <c r="B7" s="869" t="s">
        <v>283</v>
      </c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69"/>
      <c r="N7" s="869"/>
      <c r="O7" s="869"/>
      <c r="P7" s="869"/>
      <c r="Q7" s="869"/>
      <c r="R7" s="869"/>
      <c r="S7" s="869"/>
      <c r="T7" s="869"/>
      <c r="U7" s="869"/>
      <c r="V7" s="869"/>
      <c r="W7" s="869"/>
      <c r="X7" s="869"/>
      <c r="Y7" s="869"/>
      <c r="Z7" s="869"/>
      <c r="AA7" s="869"/>
      <c r="AB7" s="869"/>
      <c r="AC7" s="869"/>
      <c r="AD7" s="869"/>
      <c r="AE7" s="869"/>
      <c r="AF7" s="869"/>
      <c r="AG7" s="869"/>
      <c r="AH7" s="869"/>
      <c r="AI7" s="869"/>
      <c r="AJ7" s="869"/>
      <c r="AK7" s="869"/>
      <c r="AL7" s="869"/>
      <c r="AM7" s="869"/>
      <c r="AN7" s="869"/>
      <c r="AO7" s="869"/>
      <c r="AP7" s="869"/>
      <c r="AQ7" s="869"/>
      <c r="AR7" s="869"/>
      <c r="AS7" s="869"/>
      <c r="AT7" s="869"/>
      <c r="AU7" s="869"/>
      <c r="AV7" s="869"/>
      <c r="AW7" s="869"/>
      <c r="AX7" s="869"/>
      <c r="AY7" s="869"/>
      <c r="AZ7" s="869"/>
      <c r="BA7" s="869"/>
      <c r="BB7" s="869"/>
      <c r="BC7" s="869"/>
      <c r="BD7" s="869"/>
      <c r="BE7" s="869"/>
      <c r="BF7" s="869"/>
      <c r="BG7" s="869"/>
      <c r="BH7" s="869"/>
      <c r="BI7" s="869"/>
      <c r="BJ7" s="869"/>
      <c r="BK7" s="869"/>
      <c r="BL7" s="869"/>
      <c r="BM7" s="869"/>
      <c r="BN7" s="869"/>
      <c r="BO7" s="869"/>
      <c r="BP7" s="869"/>
      <c r="BQ7" s="869"/>
      <c r="BR7" s="869"/>
      <c r="BS7" s="869"/>
      <c r="BT7" s="869"/>
      <c r="BU7" s="869"/>
      <c r="BV7" s="515"/>
      <c r="BW7" s="515"/>
      <c r="BX7" s="515"/>
      <c r="BY7" s="864" t="s">
        <v>149</v>
      </c>
      <c r="BZ7" s="864"/>
      <c r="CA7" s="864"/>
      <c r="CB7" s="864"/>
      <c r="CC7" s="864"/>
      <c r="CD7" s="864"/>
      <c r="CE7" s="864"/>
      <c r="CF7" s="864"/>
      <c r="CG7" s="864"/>
      <c r="CH7" s="864"/>
      <c r="CI7" s="864"/>
      <c r="CJ7" s="864"/>
      <c r="CK7" s="864"/>
      <c r="CL7" s="864"/>
      <c r="CN7" s="868" t="str">
        <f>IF('Общие сведения'!D20&lt;&gt;"",'Общие сведения'!D20,"")</f>
        <v/>
      </c>
      <c r="CO7" s="868"/>
      <c r="CP7" s="868"/>
      <c r="CQ7" s="868"/>
      <c r="CR7" s="868"/>
      <c r="CS7" s="868"/>
      <c r="CT7" s="868"/>
      <c r="CU7" s="868"/>
      <c r="CV7" s="868"/>
      <c r="CW7" s="868"/>
      <c r="CX7" s="868"/>
      <c r="CY7" s="868"/>
      <c r="CZ7" s="868"/>
      <c r="DA7" s="868"/>
      <c r="DB7" s="868"/>
    </row>
    <row r="8" spans="2:120" s="512" customFormat="1" ht="19.5" customHeight="1">
      <c r="B8" s="864" t="s">
        <v>1158</v>
      </c>
      <c r="C8" s="864"/>
      <c r="D8" s="864"/>
      <c r="E8" s="864"/>
      <c r="F8" s="864"/>
      <c r="G8" s="864"/>
      <c r="H8" s="864"/>
      <c r="I8" s="864"/>
      <c r="J8" s="864"/>
      <c r="K8" s="864"/>
      <c r="L8" s="864"/>
      <c r="M8" s="864"/>
      <c r="N8" s="864"/>
      <c r="O8" s="864"/>
      <c r="P8" s="864"/>
      <c r="Q8" s="864"/>
      <c r="R8" s="864"/>
      <c r="S8" s="864"/>
      <c r="T8" s="864"/>
      <c r="U8" s="864"/>
      <c r="V8" s="864"/>
      <c r="W8" s="864"/>
      <c r="X8" s="864"/>
      <c r="Y8" s="864"/>
      <c r="Z8" s="864"/>
      <c r="AA8" s="864"/>
      <c r="AB8" s="864"/>
      <c r="AC8" s="864"/>
      <c r="AD8" s="864"/>
      <c r="AE8" s="864"/>
      <c r="AF8" s="864"/>
      <c r="AG8" s="864"/>
      <c r="AH8" s="864"/>
      <c r="AI8" s="864"/>
      <c r="AJ8" s="864"/>
      <c r="AK8" s="864"/>
      <c r="AL8" s="864"/>
      <c r="AM8" s="864"/>
      <c r="AN8" s="864"/>
      <c r="AO8" s="864"/>
      <c r="AP8" s="864"/>
      <c r="AQ8" s="864"/>
      <c r="AR8" s="864"/>
      <c r="AS8" s="864"/>
      <c r="AT8" s="864"/>
      <c r="AU8" s="864"/>
      <c r="AV8" s="864"/>
      <c r="AW8" s="864"/>
      <c r="AX8" s="864"/>
      <c r="AY8" s="864"/>
      <c r="AZ8" s="864"/>
      <c r="BA8" s="864"/>
      <c r="BB8" s="864"/>
      <c r="BC8" s="864"/>
      <c r="BD8" s="864"/>
      <c r="BE8" s="864"/>
      <c r="BF8" s="864"/>
      <c r="BG8" s="864"/>
      <c r="BH8" s="864"/>
      <c r="BI8" s="864"/>
      <c r="BJ8" s="864"/>
      <c r="BK8" s="864"/>
      <c r="BL8" s="864"/>
      <c r="BM8" s="864"/>
      <c r="BN8" s="864"/>
      <c r="BO8" s="864"/>
      <c r="BP8" s="864"/>
      <c r="BQ8" s="864"/>
      <c r="BR8" s="864"/>
      <c r="BS8" s="864"/>
      <c r="BT8" s="864"/>
      <c r="BU8" s="864"/>
      <c r="BV8" s="516"/>
      <c r="BW8" s="516"/>
      <c r="BX8" s="516"/>
      <c r="BY8" s="864" t="s">
        <v>988</v>
      </c>
      <c r="BZ8" s="864"/>
      <c r="CA8" s="864"/>
      <c r="CB8" s="864"/>
      <c r="CC8" s="864"/>
      <c r="CD8" s="864"/>
      <c r="CE8" s="864"/>
      <c r="CF8" s="864"/>
      <c r="CG8" s="864"/>
      <c r="CH8" s="864"/>
      <c r="CI8" s="864"/>
      <c r="CJ8" s="864"/>
      <c r="CK8" s="864"/>
      <c r="CL8" s="864"/>
      <c r="CM8" s="515"/>
      <c r="CN8" s="870">
        <f>IF('Общие сведения'!D22&lt;&gt;"",'Общие сведения'!D22,"")</f>
        <v>12300</v>
      </c>
      <c r="CO8" s="871"/>
      <c r="CP8" s="871"/>
      <c r="CQ8" s="871"/>
      <c r="CR8" s="871"/>
      <c r="CS8" s="871"/>
      <c r="CT8" s="871"/>
      <c r="CU8" s="871"/>
      <c r="CV8" s="871"/>
      <c r="CW8" s="871"/>
      <c r="CX8" s="871"/>
      <c r="CY8" s="871"/>
      <c r="CZ8" s="871"/>
      <c r="DA8" s="871"/>
      <c r="DB8" s="872"/>
    </row>
    <row r="9" spans="2:120" s="512" customFormat="1" ht="15.75">
      <c r="B9" s="863" t="str">
        <f>IF('Общие сведения'!D21&lt;&gt;"",'Общие сведения'!D21,"")</f>
        <v>Общества с ограниченной ответственностью</v>
      </c>
      <c r="C9" s="863"/>
      <c r="D9" s="863"/>
      <c r="E9" s="863"/>
      <c r="F9" s="863"/>
      <c r="G9" s="863"/>
      <c r="H9" s="863"/>
      <c r="I9" s="863"/>
      <c r="J9" s="863"/>
      <c r="K9" s="863"/>
      <c r="L9" s="863"/>
      <c r="M9" s="863"/>
      <c r="N9" s="863"/>
      <c r="O9" s="863"/>
      <c r="P9" s="863"/>
      <c r="Q9" s="863"/>
      <c r="R9" s="863"/>
      <c r="S9" s="863"/>
      <c r="T9" s="863"/>
      <c r="U9" s="863"/>
      <c r="V9" s="863"/>
      <c r="W9" s="863"/>
      <c r="X9" s="863"/>
      <c r="Y9" s="863"/>
      <c r="Z9" s="863"/>
      <c r="AA9" s="863"/>
      <c r="AB9" s="863"/>
      <c r="AC9" s="863"/>
      <c r="AD9" s="863"/>
      <c r="AE9" s="863"/>
      <c r="AF9" s="863"/>
      <c r="AG9" s="863"/>
      <c r="AH9" s="863"/>
      <c r="AI9" s="863"/>
      <c r="AJ9" s="863"/>
      <c r="AK9" s="863"/>
      <c r="AL9" s="863"/>
      <c r="AM9" s="863"/>
      <c r="AN9" s="863"/>
      <c r="AO9" s="863"/>
      <c r="AP9" s="863"/>
      <c r="AQ9" s="863"/>
      <c r="AR9" s="863"/>
      <c r="AS9" s="863"/>
      <c r="AT9" s="863"/>
      <c r="AU9" s="863"/>
      <c r="AV9" s="863"/>
      <c r="AW9" s="863"/>
      <c r="AX9" s="863"/>
      <c r="AY9" s="863"/>
      <c r="AZ9" s="863"/>
      <c r="BA9" s="863"/>
      <c r="BB9" s="863"/>
      <c r="BC9" s="863"/>
      <c r="BD9" s="863"/>
      <c r="BE9" s="863"/>
      <c r="BF9" s="863"/>
      <c r="BG9" s="863"/>
      <c r="BH9" s="863"/>
      <c r="BI9" s="863"/>
      <c r="BJ9" s="863"/>
      <c r="BK9" s="863"/>
      <c r="BL9" s="863"/>
      <c r="BM9" s="863"/>
      <c r="BN9" s="863"/>
      <c r="BO9" s="863"/>
      <c r="BP9" s="863"/>
      <c r="BQ9" s="863"/>
      <c r="BR9" s="863"/>
      <c r="BS9" s="863"/>
      <c r="BT9" s="863"/>
      <c r="BU9" s="863"/>
      <c r="BV9" s="516"/>
      <c r="BW9" s="516"/>
      <c r="BX9" s="516"/>
      <c r="BY9" s="864"/>
      <c r="BZ9" s="864"/>
      <c r="CA9" s="864"/>
      <c r="CB9" s="864"/>
      <c r="CC9" s="864"/>
      <c r="CD9" s="864"/>
      <c r="CE9" s="864"/>
      <c r="CF9" s="864"/>
      <c r="CG9" s="864"/>
      <c r="CH9" s="864"/>
      <c r="CI9" s="864"/>
      <c r="CJ9" s="864"/>
      <c r="CK9" s="864"/>
      <c r="CL9" s="864"/>
      <c r="CN9" s="873"/>
      <c r="CO9" s="874"/>
      <c r="CP9" s="874"/>
      <c r="CQ9" s="874"/>
      <c r="CR9" s="874"/>
      <c r="CS9" s="874"/>
      <c r="CT9" s="874"/>
      <c r="CU9" s="874"/>
      <c r="CV9" s="874"/>
      <c r="CW9" s="874"/>
      <c r="CX9" s="874"/>
      <c r="CY9" s="874"/>
      <c r="CZ9" s="874"/>
      <c r="DA9" s="874"/>
      <c r="DB9" s="875"/>
    </row>
    <row r="10" spans="2:120" s="512" customFormat="1" ht="19.5" customHeight="1">
      <c r="B10" s="879" t="s">
        <v>387</v>
      </c>
      <c r="C10" s="879"/>
      <c r="D10" s="879"/>
      <c r="E10" s="879"/>
      <c r="F10" s="879"/>
      <c r="G10" s="879"/>
      <c r="H10" s="879"/>
      <c r="I10" s="879"/>
      <c r="J10" s="879"/>
      <c r="K10" s="879"/>
      <c r="L10" s="879"/>
      <c r="M10" s="879"/>
      <c r="N10" s="879"/>
      <c r="O10" s="879"/>
      <c r="P10" s="879"/>
      <c r="Q10" s="879"/>
      <c r="R10" s="879"/>
      <c r="S10" s="879"/>
      <c r="T10" s="879"/>
      <c r="U10" s="879"/>
      <c r="V10" s="879"/>
      <c r="W10" s="879"/>
      <c r="X10" s="879"/>
      <c r="Y10" s="879"/>
      <c r="Z10" s="879"/>
      <c r="AA10" s="879"/>
      <c r="AB10" s="879"/>
      <c r="AC10" s="879"/>
      <c r="AD10" s="879"/>
      <c r="AE10" s="879"/>
      <c r="AF10" s="879"/>
      <c r="AG10" s="879"/>
      <c r="AH10" s="879"/>
      <c r="AI10" s="879"/>
      <c r="AJ10" s="879"/>
      <c r="AK10" s="879"/>
      <c r="AL10" s="879"/>
      <c r="AM10" s="879"/>
      <c r="AN10" s="879"/>
      <c r="AO10" s="879"/>
      <c r="AP10" s="879"/>
      <c r="AQ10" s="879"/>
      <c r="AR10" s="879"/>
      <c r="AS10" s="879"/>
      <c r="AT10" s="879"/>
      <c r="AU10" s="879"/>
      <c r="AV10" s="879"/>
      <c r="AW10" s="879"/>
      <c r="AX10" s="879"/>
      <c r="AY10" s="879"/>
      <c r="AZ10" s="879"/>
      <c r="BA10" s="879"/>
      <c r="BB10" s="879"/>
      <c r="BC10" s="879"/>
      <c r="BD10" s="879"/>
      <c r="BE10" s="879"/>
      <c r="BF10" s="879"/>
      <c r="BG10" s="879"/>
      <c r="BH10" s="879"/>
      <c r="BI10" s="879"/>
      <c r="BJ10" s="879"/>
      <c r="BK10" s="879"/>
      <c r="BL10" s="879"/>
      <c r="BM10" s="879"/>
      <c r="BN10" s="879"/>
      <c r="BO10" s="879"/>
      <c r="BP10" s="879"/>
      <c r="BQ10" s="879"/>
      <c r="BR10" s="879"/>
      <c r="BS10" s="879"/>
      <c r="BT10" s="879"/>
      <c r="BU10" s="879"/>
      <c r="BV10" s="516"/>
      <c r="BW10" s="516"/>
      <c r="BX10" s="516"/>
      <c r="BY10" s="864" t="s">
        <v>989</v>
      </c>
      <c r="BZ10" s="864"/>
      <c r="CA10" s="864"/>
      <c r="CB10" s="864"/>
      <c r="CC10" s="864"/>
      <c r="CD10" s="864"/>
      <c r="CE10" s="864"/>
      <c r="CF10" s="864"/>
      <c r="CG10" s="864"/>
      <c r="CH10" s="864"/>
      <c r="CI10" s="864"/>
      <c r="CJ10" s="864"/>
      <c r="CK10" s="864"/>
      <c r="CL10" s="864"/>
      <c r="CM10" s="515"/>
      <c r="CN10" s="870" t="str">
        <f>IF('Общие сведения'!D24&lt;&gt;"",'Общие сведения'!D24,"")</f>
        <v>16</v>
      </c>
      <c r="CO10" s="871"/>
      <c r="CP10" s="871"/>
      <c r="CQ10" s="871"/>
      <c r="CR10" s="871"/>
      <c r="CS10" s="871"/>
      <c r="CT10" s="871"/>
      <c r="CU10" s="871"/>
      <c r="CV10" s="871"/>
      <c r="CW10" s="871"/>
      <c r="CX10" s="871"/>
      <c r="CY10" s="871"/>
      <c r="CZ10" s="871"/>
      <c r="DA10" s="871"/>
      <c r="DB10" s="872"/>
      <c r="DC10" s="515"/>
      <c r="DD10" s="515"/>
    </row>
    <row r="11" spans="2:120" s="512" customFormat="1" ht="15.75">
      <c r="B11" s="866" t="str">
        <f>IF('Общие сведения'!D23&lt;&gt;"",'Общие сведения'!D23,"")</f>
        <v>Частная собственность</v>
      </c>
      <c r="C11" s="866"/>
      <c r="D11" s="866"/>
      <c r="E11" s="866"/>
      <c r="F11" s="866"/>
      <c r="G11" s="866"/>
      <c r="H11" s="866"/>
      <c r="I11" s="866"/>
      <c r="J11" s="866"/>
      <c r="K11" s="866"/>
      <c r="L11" s="866"/>
      <c r="M11" s="866"/>
      <c r="N11" s="866"/>
      <c r="O11" s="866"/>
      <c r="P11" s="866"/>
      <c r="Q11" s="866"/>
      <c r="R11" s="866"/>
      <c r="S11" s="866"/>
      <c r="T11" s="866"/>
      <c r="U11" s="866"/>
      <c r="V11" s="866"/>
      <c r="W11" s="866"/>
      <c r="X11" s="866"/>
      <c r="Y11" s="866"/>
      <c r="Z11" s="866"/>
      <c r="AA11" s="866"/>
      <c r="AB11" s="866"/>
      <c r="AC11" s="866"/>
      <c r="AD11" s="866"/>
      <c r="AE11" s="866"/>
      <c r="AF11" s="866"/>
      <c r="AG11" s="866"/>
      <c r="AH11" s="866"/>
      <c r="AI11" s="866"/>
      <c r="AJ11" s="866"/>
      <c r="AK11" s="866"/>
      <c r="AL11" s="866"/>
      <c r="AM11" s="866"/>
      <c r="AN11" s="866"/>
      <c r="AO11" s="866"/>
      <c r="AP11" s="866"/>
      <c r="AQ11" s="866"/>
      <c r="AR11" s="866"/>
      <c r="AS11" s="866"/>
      <c r="AT11" s="866"/>
      <c r="AU11" s="866"/>
      <c r="AV11" s="866"/>
      <c r="AW11" s="866"/>
      <c r="AX11" s="866"/>
      <c r="AY11" s="866"/>
      <c r="AZ11" s="866"/>
      <c r="BA11" s="866"/>
      <c r="BB11" s="866"/>
      <c r="BC11" s="866"/>
      <c r="BD11" s="866"/>
      <c r="BE11" s="866"/>
      <c r="BF11" s="866"/>
      <c r="BG11" s="866"/>
      <c r="BH11" s="866"/>
      <c r="BI11" s="866"/>
      <c r="BJ11" s="866"/>
      <c r="BK11" s="866"/>
      <c r="BL11" s="866"/>
      <c r="BM11" s="866"/>
      <c r="BN11" s="866"/>
      <c r="BO11" s="866"/>
      <c r="BP11" s="866"/>
      <c r="BQ11" s="866"/>
      <c r="BR11" s="866"/>
      <c r="BS11" s="866"/>
      <c r="BT11" s="866"/>
      <c r="BU11" s="866"/>
      <c r="BV11" s="516"/>
      <c r="BW11" s="516"/>
      <c r="BX11" s="516"/>
      <c r="BY11" s="864"/>
      <c r="BZ11" s="864"/>
      <c r="CA11" s="864"/>
      <c r="CB11" s="864"/>
      <c r="CC11" s="864"/>
      <c r="CD11" s="864"/>
      <c r="CE11" s="864"/>
      <c r="CF11" s="864"/>
      <c r="CG11" s="864"/>
      <c r="CH11" s="864"/>
      <c r="CI11" s="864"/>
      <c r="CJ11" s="864"/>
      <c r="CK11" s="864"/>
      <c r="CL11" s="864"/>
      <c r="CN11" s="885"/>
      <c r="CO11" s="886"/>
      <c r="CP11" s="886"/>
      <c r="CQ11" s="886"/>
      <c r="CR11" s="886"/>
      <c r="CS11" s="886"/>
      <c r="CT11" s="886"/>
      <c r="CU11" s="886"/>
      <c r="CV11" s="886"/>
      <c r="CW11" s="886"/>
      <c r="CX11" s="886"/>
      <c r="CY11" s="886"/>
      <c r="CZ11" s="886"/>
      <c r="DA11" s="886"/>
      <c r="DB11" s="887"/>
    </row>
    <row r="12" spans="2:120">
      <c r="BW12" s="517"/>
      <c r="BX12" s="517"/>
      <c r="BY12" s="517"/>
      <c r="CN12" s="517"/>
      <c r="CO12" s="517"/>
      <c r="CP12" s="517"/>
      <c r="CQ12" s="517"/>
      <c r="CR12" s="517"/>
      <c r="CS12" s="517"/>
      <c r="CT12" s="517"/>
      <c r="CU12" s="517"/>
      <c r="CV12" s="517"/>
      <c r="CW12" s="517"/>
      <c r="CX12" s="517"/>
      <c r="CY12" s="517"/>
      <c r="CZ12" s="517"/>
    </row>
    <row r="13" spans="2:120" s="512" customFormat="1" ht="19.5" customHeight="1">
      <c r="B13" s="864" t="s">
        <v>1159</v>
      </c>
      <c r="C13" s="864"/>
      <c r="D13" s="864"/>
      <c r="E13" s="864"/>
      <c r="F13" s="864"/>
      <c r="G13" s="864"/>
      <c r="H13" s="864"/>
      <c r="I13" s="864"/>
      <c r="J13" s="864"/>
      <c r="K13" s="864"/>
      <c r="L13" s="864"/>
      <c r="M13" s="864"/>
      <c r="N13" s="864"/>
      <c r="O13" s="864"/>
      <c r="P13" s="864"/>
      <c r="Q13" s="864"/>
      <c r="R13" s="864"/>
      <c r="S13" s="864"/>
      <c r="T13" s="864"/>
      <c r="U13" s="864"/>
      <c r="V13" s="864"/>
      <c r="W13" s="864"/>
      <c r="X13" s="864"/>
      <c r="Y13" s="864"/>
      <c r="Z13" s="864"/>
      <c r="AA13" s="864"/>
      <c r="AB13" s="864"/>
      <c r="AC13" s="864"/>
      <c r="AD13" s="864"/>
      <c r="AE13" s="864"/>
      <c r="AF13" s="864"/>
      <c r="AG13" s="864"/>
      <c r="AH13" s="864"/>
      <c r="AI13" s="864"/>
      <c r="AJ13" s="864"/>
      <c r="AK13" s="864"/>
      <c r="AL13" s="864"/>
      <c r="AM13" s="864"/>
      <c r="AN13" s="864"/>
      <c r="AO13" s="864"/>
      <c r="AP13" s="864"/>
      <c r="AQ13" s="518"/>
      <c r="AR13" s="518"/>
      <c r="AS13" s="518"/>
      <c r="AT13" s="518"/>
      <c r="AU13" s="518"/>
      <c r="AV13" s="518"/>
      <c r="AW13" s="518"/>
      <c r="AX13" s="518"/>
      <c r="AY13" s="518"/>
      <c r="AZ13" s="518"/>
      <c r="BA13" s="518"/>
      <c r="BB13" s="518"/>
      <c r="BC13" s="518"/>
      <c r="BD13" s="518"/>
      <c r="BE13" s="518"/>
      <c r="BF13" s="518"/>
      <c r="BG13" s="518"/>
      <c r="BH13" s="518"/>
      <c r="BI13" s="518"/>
      <c r="BJ13" s="518"/>
      <c r="BK13" s="518"/>
      <c r="BL13" s="518"/>
      <c r="BM13" s="518"/>
      <c r="BN13" s="518"/>
      <c r="BO13" s="518"/>
      <c r="BP13" s="518"/>
      <c r="BQ13" s="518"/>
      <c r="BR13" s="518"/>
      <c r="BS13" s="518"/>
      <c r="BT13" s="518"/>
      <c r="BU13" s="518"/>
      <c r="BV13" s="519"/>
      <c r="BW13" s="519"/>
      <c r="BX13" s="519"/>
      <c r="BY13" s="519"/>
      <c r="BZ13" s="515"/>
      <c r="CN13" s="519"/>
      <c r="CO13" s="519"/>
      <c r="CP13" s="519"/>
      <c r="CQ13" s="519"/>
      <c r="CR13" s="519"/>
      <c r="CS13" s="519"/>
      <c r="CT13" s="519"/>
      <c r="CU13" s="519"/>
      <c r="CV13" s="519"/>
      <c r="CW13" s="519"/>
      <c r="CX13" s="519"/>
      <c r="CY13" s="519"/>
      <c r="CZ13" s="515"/>
    </row>
    <row r="14" spans="2:120" s="512" customFormat="1" ht="35.25" customHeight="1">
      <c r="B14" s="876" t="str">
        <f>IF('Общие сведения'!D25&lt;&gt;"",'Общие сведения'!D25,"")</f>
        <v/>
      </c>
      <c r="C14" s="876"/>
      <c r="D14" s="876"/>
      <c r="E14" s="876"/>
      <c r="F14" s="876"/>
      <c r="G14" s="876"/>
      <c r="H14" s="876"/>
      <c r="I14" s="876"/>
      <c r="J14" s="876"/>
      <c r="K14" s="876"/>
      <c r="L14" s="876"/>
      <c r="M14" s="876"/>
      <c r="N14" s="876"/>
      <c r="O14" s="876"/>
      <c r="P14" s="876"/>
      <c r="Q14" s="876"/>
      <c r="R14" s="876"/>
      <c r="S14" s="876"/>
      <c r="T14" s="876"/>
      <c r="U14" s="876"/>
      <c r="V14" s="876"/>
      <c r="W14" s="876"/>
      <c r="X14" s="876"/>
      <c r="Y14" s="876"/>
      <c r="Z14" s="876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876"/>
      <c r="AO14" s="876"/>
      <c r="AP14" s="876"/>
      <c r="AQ14" s="876"/>
      <c r="AR14" s="876"/>
      <c r="AS14" s="876"/>
      <c r="AT14" s="876"/>
      <c r="AU14" s="876"/>
      <c r="AV14" s="876"/>
      <c r="AW14" s="876"/>
      <c r="AX14" s="876"/>
      <c r="AY14" s="876"/>
      <c r="AZ14" s="876"/>
      <c r="BA14" s="876"/>
      <c r="BB14" s="876"/>
      <c r="BC14" s="876"/>
      <c r="BD14" s="876"/>
      <c r="BE14" s="876"/>
      <c r="BF14" s="876"/>
      <c r="BG14" s="876"/>
      <c r="BH14" s="876"/>
      <c r="BI14" s="876"/>
      <c r="BJ14" s="876"/>
      <c r="BK14" s="876"/>
      <c r="BL14" s="876"/>
      <c r="BM14" s="876"/>
      <c r="BN14" s="876"/>
      <c r="BO14" s="876"/>
      <c r="BP14" s="876"/>
      <c r="BQ14" s="876"/>
      <c r="BR14" s="876"/>
      <c r="BS14" s="876"/>
      <c r="BT14" s="876"/>
      <c r="BU14" s="876"/>
      <c r="BV14" s="519"/>
      <c r="BW14" s="519"/>
      <c r="BX14" s="519"/>
      <c r="BY14" s="519"/>
      <c r="CN14" s="519"/>
      <c r="CO14" s="519"/>
      <c r="CP14" s="519"/>
      <c r="CQ14" s="519"/>
      <c r="CR14" s="519"/>
      <c r="CS14" s="519"/>
      <c r="CT14" s="519"/>
      <c r="CU14" s="519"/>
      <c r="CV14" s="519"/>
      <c r="CW14" s="519"/>
      <c r="CX14" s="519"/>
      <c r="CY14" s="519"/>
      <c r="CZ14" s="515"/>
    </row>
    <row r="15" spans="2:120">
      <c r="BV15" s="517"/>
      <c r="BW15" s="517"/>
      <c r="BX15" s="517"/>
      <c r="BY15" s="517"/>
      <c r="CN15" s="517"/>
      <c r="CO15" s="517"/>
      <c r="CP15" s="517"/>
      <c r="CQ15" s="517"/>
      <c r="CR15" s="517"/>
      <c r="CS15" s="517"/>
      <c r="CT15" s="517"/>
      <c r="CU15" s="517"/>
      <c r="CV15" s="517"/>
      <c r="CW15" s="517"/>
      <c r="CX15" s="517"/>
      <c r="CY15" s="517"/>
      <c r="CZ15" s="517"/>
    </row>
    <row r="16" spans="2:120">
      <c r="BW16" s="517"/>
      <c r="BX16" s="517"/>
      <c r="BY16" s="517"/>
      <c r="BZ16" s="517"/>
      <c r="CA16" s="517"/>
      <c r="CB16" s="517"/>
      <c r="CC16" s="517"/>
      <c r="CD16" s="517"/>
      <c r="CE16" s="517"/>
      <c r="CF16" s="517"/>
      <c r="CG16" s="517"/>
      <c r="CH16" s="517"/>
      <c r="CL16" s="517"/>
      <c r="CM16" s="517"/>
      <c r="CN16" s="517"/>
      <c r="CO16" s="517"/>
      <c r="CP16" s="517"/>
      <c r="CQ16" s="517"/>
      <c r="CR16" s="517"/>
      <c r="CS16" s="517"/>
      <c r="CT16" s="517"/>
      <c r="CU16" s="517"/>
      <c r="CV16" s="517"/>
      <c r="CW16" s="517"/>
      <c r="CX16" s="517"/>
      <c r="CY16" s="517"/>
      <c r="CZ16" s="517"/>
    </row>
    <row r="17" spans="2:106" s="512" customFormat="1" ht="30" customHeight="1">
      <c r="B17" s="882" t="s">
        <v>986</v>
      </c>
      <c r="C17" s="882"/>
      <c r="D17" s="882"/>
      <c r="E17" s="882"/>
      <c r="F17" s="882"/>
      <c r="G17" s="882"/>
      <c r="H17" s="882"/>
      <c r="I17" s="882"/>
      <c r="J17" s="882"/>
      <c r="K17" s="882"/>
      <c r="L17" s="882"/>
      <c r="M17" s="882"/>
      <c r="N17" s="882"/>
      <c r="O17" s="882"/>
      <c r="P17" s="882"/>
      <c r="Q17" s="882"/>
      <c r="R17" s="882"/>
      <c r="S17" s="882"/>
      <c r="T17" s="882"/>
      <c r="U17" s="882"/>
      <c r="V17" s="882"/>
      <c r="W17" s="882"/>
      <c r="X17" s="882"/>
      <c r="Y17" s="882"/>
      <c r="Z17" s="882"/>
      <c r="AA17" s="882"/>
      <c r="AB17" s="882"/>
      <c r="AC17" s="882"/>
      <c r="AD17" s="882"/>
      <c r="AE17" s="882"/>
      <c r="AF17" s="882"/>
      <c r="AG17" s="882"/>
      <c r="AH17" s="882"/>
      <c r="AI17" s="882"/>
      <c r="AJ17" s="882"/>
      <c r="AK17" s="882"/>
      <c r="AL17" s="882"/>
      <c r="AM17" s="882"/>
      <c r="AN17" s="882"/>
      <c r="AO17" s="882"/>
      <c r="AP17" s="882"/>
      <c r="AQ17" s="882"/>
      <c r="AR17" s="882"/>
      <c r="AS17" s="882"/>
      <c r="AT17" s="882"/>
      <c r="AU17" s="882"/>
      <c r="AV17" s="882"/>
      <c r="AW17" s="882"/>
      <c r="AX17" s="882"/>
      <c r="AY17" s="882"/>
      <c r="AZ17" s="882"/>
      <c r="BA17" s="882"/>
      <c r="BB17" s="882"/>
      <c r="BC17" s="882"/>
      <c r="BD17" s="882"/>
      <c r="BE17" s="882"/>
      <c r="BF17" s="882"/>
      <c r="BG17" s="882"/>
      <c r="BH17" s="882"/>
      <c r="BI17" s="882"/>
      <c r="BJ17" s="882"/>
      <c r="BK17" s="882"/>
      <c r="BL17" s="882"/>
      <c r="BM17" s="882"/>
      <c r="BN17" s="882"/>
      <c r="BO17" s="882"/>
      <c r="BP17" s="882"/>
      <c r="CH17" s="883" t="str">
        <f>IF('Общие сведения'!D13=1,"V","")</f>
        <v/>
      </c>
      <c r="CI17" s="883"/>
      <c r="CJ17" s="883"/>
      <c r="CK17" s="884" t="s">
        <v>1017</v>
      </c>
      <c r="CL17" s="884"/>
      <c r="CM17" s="884"/>
      <c r="CN17" s="884"/>
      <c r="CO17" s="884"/>
      <c r="CP17" s="884"/>
      <c r="CQ17" s="884"/>
      <c r="CR17" s="883" t="str">
        <f>IF('Общие сведения'!D13=0,"V","")</f>
        <v>V</v>
      </c>
      <c r="CS17" s="883"/>
      <c r="CT17" s="883"/>
      <c r="CU17" s="884" t="s">
        <v>1018</v>
      </c>
      <c r="CV17" s="884"/>
      <c r="CW17" s="884"/>
      <c r="CX17" s="884"/>
      <c r="CY17" s="884"/>
      <c r="CZ17" s="884"/>
      <c r="DA17" s="884"/>
      <c r="DB17" s="884"/>
    </row>
    <row r="19" spans="2:106" s="512" customFormat="1" ht="29.25" customHeight="1">
      <c r="B19" s="888" t="s">
        <v>1160</v>
      </c>
      <c r="C19" s="888"/>
      <c r="D19" s="888"/>
      <c r="E19" s="888"/>
      <c r="F19" s="888"/>
      <c r="G19" s="888"/>
      <c r="H19" s="888"/>
      <c r="I19" s="888"/>
      <c r="J19" s="888"/>
      <c r="K19" s="888"/>
      <c r="L19" s="888"/>
      <c r="M19" s="888"/>
      <c r="N19" s="888"/>
      <c r="O19" s="888"/>
      <c r="P19" s="888"/>
      <c r="Q19" s="888"/>
      <c r="R19" s="888"/>
      <c r="S19" s="888"/>
      <c r="T19" s="888"/>
      <c r="U19" s="888"/>
      <c r="V19" s="888"/>
      <c r="W19" s="888"/>
      <c r="X19" s="888"/>
      <c r="Y19" s="888"/>
      <c r="Z19" s="888"/>
      <c r="AA19" s="888"/>
      <c r="AB19" s="888"/>
      <c r="AC19" s="888"/>
      <c r="AD19" s="888"/>
      <c r="AE19" s="888"/>
      <c r="AF19" s="888"/>
      <c r="AG19" s="888"/>
      <c r="AH19" s="888"/>
      <c r="AI19" s="888"/>
      <c r="AJ19" s="888"/>
      <c r="AK19" s="888"/>
      <c r="AL19" s="888"/>
      <c r="AM19" s="888"/>
      <c r="AN19" s="888"/>
      <c r="AO19" s="888"/>
      <c r="AP19" s="888"/>
      <c r="AQ19" s="888"/>
      <c r="AR19" s="888"/>
      <c r="AS19" s="888"/>
      <c r="AT19" s="888"/>
      <c r="AU19" s="888"/>
      <c r="AV19" s="888"/>
      <c r="AW19" s="888"/>
      <c r="AX19" s="888"/>
      <c r="AY19" s="888"/>
      <c r="AZ19" s="888"/>
      <c r="BA19" s="888"/>
      <c r="BB19" s="888"/>
      <c r="BC19" s="888"/>
      <c r="BD19" s="888"/>
      <c r="BE19" s="888"/>
      <c r="BF19" s="888"/>
      <c r="BG19" s="888"/>
      <c r="BH19" s="888"/>
      <c r="BI19" s="888"/>
      <c r="BJ19" s="888"/>
      <c r="BK19" s="888"/>
      <c r="BL19" s="888"/>
      <c r="BM19" s="888"/>
      <c r="BN19" s="888"/>
      <c r="BO19" s="888"/>
      <c r="BP19" s="888"/>
      <c r="BQ19" s="888"/>
      <c r="BR19" s="888"/>
    </row>
    <row r="20" spans="2:106" s="512" customFormat="1" ht="15.75" customHeight="1">
      <c r="B20" s="889" t="str">
        <f>IF('Общие сведения'!D30&lt;&gt;"",'Общие сведения'!D30,"")</f>
        <v/>
      </c>
      <c r="C20" s="889"/>
      <c r="D20" s="889"/>
      <c r="E20" s="889"/>
      <c r="F20" s="889"/>
      <c r="G20" s="889"/>
      <c r="H20" s="889"/>
      <c r="I20" s="889"/>
      <c r="J20" s="889"/>
      <c r="K20" s="889"/>
      <c r="L20" s="889"/>
      <c r="M20" s="889"/>
      <c r="N20" s="889"/>
      <c r="O20" s="889"/>
      <c r="P20" s="889"/>
      <c r="Q20" s="889"/>
      <c r="R20" s="889"/>
      <c r="S20" s="889"/>
      <c r="T20" s="889"/>
      <c r="U20" s="889"/>
      <c r="V20" s="889"/>
      <c r="W20" s="889"/>
      <c r="X20" s="889"/>
      <c r="Y20" s="889"/>
      <c r="Z20" s="889"/>
      <c r="AA20" s="889"/>
      <c r="AB20" s="889"/>
      <c r="AC20" s="889"/>
      <c r="AD20" s="889"/>
      <c r="AE20" s="889"/>
      <c r="AF20" s="889"/>
      <c r="AG20" s="889"/>
      <c r="AH20" s="889"/>
      <c r="AI20" s="889"/>
      <c r="AJ20" s="889"/>
      <c r="AK20" s="889"/>
      <c r="AL20" s="889"/>
      <c r="AM20" s="889"/>
      <c r="AN20" s="889"/>
      <c r="AO20" s="889"/>
      <c r="AP20" s="889"/>
      <c r="AQ20" s="889"/>
      <c r="AR20" s="889"/>
      <c r="AS20" s="889"/>
      <c r="AT20" s="889"/>
      <c r="AU20" s="889"/>
      <c r="AV20" s="889"/>
      <c r="AW20" s="889"/>
      <c r="AX20" s="889"/>
      <c r="AY20" s="889"/>
      <c r="AZ20" s="889"/>
      <c r="BA20" s="889"/>
      <c r="BB20" s="889"/>
      <c r="BC20" s="889"/>
      <c r="BD20" s="889"/>
      <c r="BE20" s="889"/>
      <c r="BF20" s="889"/>
      <c r="BG20" s="889"/>
      <c r="BH20" s="889"/>
      <c r="BI20" s="889"/>
      <c r="BJ20" s="889"/>
      <c r="BK20" s="889"/>
      <c r="BL20" s="889"/>
      <c r="BM20" s="889"/>
      <c r="BN20" s="889"/>
      <c r="BO20" s="889"/>
      <c r="BP20" s="889"/>
      <c r="BQ20" s="889"/>
      <c r="BR20" s="889"/>
      <c r="BS20" s="889"/>
      <c r="BT20" s="889"/>
      <c r="BU20" s="889"/>
      <c r="BV20" s="523"/>
      <c r="BW20" s="523"/>
      <c r="BX20" s="523"/>
      <c r="BY20" s="523"/>
      <c r="BZ20" s="523"/>
      <c r="CA20" s="523"/>
      <c r="CB20" s="523"/>
      <c r="CC20" s="523"/>
      <c r="CD20" s="523"/>
      <c r="CE20" s="523"/>
      <c r="CF20" s="523"/>
      <c r="CG20" s="523"/>
      <c r="CH20" s="523"/>
      <c r="CI20" s="523"/>
      <c r="CJ20" s="523"/>
      <c r="CK20" s="523"/>
    </row>
    <row r="21" spans="2:106" s="512" customFormat="1" ht="15.75">
      <c r="B21" s="876"/>
      <c r="C21" s="876"/>
      <c r="D21" s="876"/>
      <c r="E21" s="876"/>
      <c r="F21" s="876"/>
      <c r="G21" s="876"/>
      <c r="H21" s="876"/>
      <c r="I21" s="876"/>
      <c r="J21" s="876"/>
      <c r="K21" s="876"/>
      <c r="L21" s="876"/>
      <c r="M21" s="876"/>
      <c r="N21" s="876"/>
      <c r="O21" s="876"/>
      <c r="P21" s="876"/>
      <c r="Q21" s="876"/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6"/>
      <c r="AC21" s="876"/>
      <c r="AD21" s="876"/>
      <c r="AE21" s="876"/>
      <c r="AF21" s="876"/>
      <c r="AG21" s="876"/>
      <c r="AH21" s="876"/>
      <c r="AI21" s="876"/>
      <c r="AJ21" s="876"/>
      <c r="AK21" s="876"/>
      <c r="AL21" s="876"/>
      <c r="AM21" s="876"/>
      <c r="AN21" s="876"/>
      <c r="AO21" s="876"/>
      <c r="AP21" s="876"/>
      <c r="AQ21" s="876"/>
      <c r="AR21" s="876"/>
      <c r="AS21" s="876"/>
      <c r="AT21" s="876"/>
      <c r="AU21" s="876"/>
      <c r="AV21" s="876"/>
      <c r="AW21" s="876"/>
      <c r="AX21" s="876"/>
      <c r="AY21" s="876"/>
      <c r="AZ21" s="876"/>
      <c r="BA21" s="876"/>
      <c r="BB21" s="876"/>
      <c r="BC21" s="876"/>
      <c r="BD21" s="876"/>
      <c r="BE21" s="876"/>
      <c r="BF21" s="876"/>
      <c r="BG21" s="876"/>
      <c r="BH21" s="876"/>
      <c r="BI21" s="876"/>
      <c r="BJ21" s="876"/>
      <c r="BK21" s="876"/>
      <c r="BL21" s="876"/>
      <c r="BM21" s="876"/>
      <c r="BN21" s="876"/>
      <c r="BO21" s="876"/>
      <c r="BP21" s="876"/>
      <c r="BQ21" s="876"/>
      <c r="BR21" s="876"/>
      <c r="BS21" s="876"/>
      <c r="BT21" s="876"/>
      <c r="BU21" s="876"/>
      <c r="BV21" s="523"/>
      <c r="BW21" s="523"/>
      <c r="BX21" s="523"/>
      <c r="BY21" s="523"/>
      <c r="BZ21" s="523"/>
      <c r="CA21" s="523"/>
      <c r="CB21" s="523"/>
      <c r="CC21" s="523"/>
      <c r="CD21" s="523"/>
      <c r="CE21" s="523"/>
      <c r="CF21" s="523"/>
      <c r="CG21" s="523"/>
      <c r="CH21" s="523"/>
      <c r="CI21" s="523"/>
      <c r="CJ21" s="523"/>
      <c r="CK21" s="523"/>
    </row>
    <row r="23" spans="2:106" s="512" customFormat="1" ht="39" customHeight="1">
      <c r="B23" s="880" t="s">
        <v>990</v>
      </c>
      <c r="C23" s="880"/>
      <c r="D23" s="880"/>
      <c r="E23" s="880"/>
      <c r="F23" s="880"/>
      <c r="G23" s="880"/>
      <c r="H23" s="880"/>
      <c r="I23" s="880"/>
      <c r="J23" s="880"/>
      <c r="K23" s="880"/>
      <c r="L23" s="880"/>
      <c r="M23" s="880"/>
      <c r="N23" s="880"/>
      <c r="O23" s="880"/>
      <c r="P23" s="880"/>
      <c r="Q23" s="880"/>
      <c r="R23" s="880"/>
      <c r="S23" s="880"/>
      <c r="T23" s="880"/>
      <c r="U23" s="880"/>
      <c r="V23" s="880"/>
      <c r="W23" s="880"/>
      <c r="X23" s="880"/>
      <c r="Y23" s="880"/>
      <c r="Z23" s="880"/>
      <c r="AA23" s="880"/>
      <c r="AB23" s="880"/>
      <c r="AC23" s="880"/>
      <c r="AD23" s="880"/>
      <c r="AE23" s="880"/>
      <c r="AF23" s="880"/>
      <c r="AG23" s="880"/>
      <c r="AH23" s="880"/>
      <c r="AI23" s="880"/>
      <c r="AJ23" s="880"/>
      <c r="AK23" s="880"/>
      <c r="AL23" s="880"/>
      <c r="AM23" s="880"/>
      <c r="AN23" s="880"/>
      <c r="AO23" s="880"/>
      <c r="AP23" s="880"/>
      <c r="AQ23" s="880"/>
      <c r="AR23" s="880"/>
      <c r="AS23" s="880"/>
      <c r="AT23" s="880"/>
      <c r="AU23" s="880"/>
      <c r="AV23" s="880"/>
      <c r="AW23" s="880"/>
      <c r="AX23" s="880"/>
      <c r="AY23" s="880"/>
      <c r="AZ23" s="880"/>
      <c r="BA23" s="880"/>
      <c r="BB23" s="880"/>
      <c r="BC23" s="880"/>
      <c r="BD23" s="880"/>
      <c r="BE23" s="880"/>
      <c r="BF23" s="880"/>
      <c r="BG23" s="880"/>
      <c r="BH23" s="880"/>
      <c r="BI23" s="880"/>
      <c r="BJ23" s="880"/>
      <c r="BK23" s="880"/>
      <c r="BL23" s="880"/>
      <c r="BM23" s="880"/>
      <c r="BN23" s="880"/>
      <c r="BO23" s="880"/>
      <c r="BP23" s="880"/>
      <c r="BY23" s="877" t="s">
        <v>149</v>
      </c>
      <c r="BZ23" s="877"/>
      <c r="CA23" s="877"/>
      <c r="CB23" s="877"/>
      <c r="CC23" s="877"/>
      <c r="CD23" s="877"/>
      <c r="CE23" s="877"/>
      <c r="CF23" s="878"/>
      <c r="CG23" s="890" t="str">
        <f>IF('Общие сведения'!D31&lt;&gt;"",'Общие сведения'!D31,"")</f>
        <v/>
      </c>
      <c r="CH23" s="890"/>
      <c r="CI23" s="890"/>
      <c r="CJ23" s="890"/>
      <c r="CK23" s="890"/>
      <c r="CL23" s="890"/>
      <c r="CM23" s="890"/>
      <c r="CN23" s="890"/>
      <c r="CO23" s="890"/>
      <c r="CP23" s="890"/>
      <c r="CQ23" s="890"/>
      <c r="CR23" s="890"/>
      <c r="CS23" s="890"/>
      <c r="CT23" s="890"/>
      <c r="CU23" s="890"/>
      <c r="CV23" s="890"/>
      <c r="CW23" s="890"/>
      <c r="CX23" s="890"/>
      <c r="CY23" s="890"/>
      <c r="CZ23" s="890"/>
      <c r="DA23" s="890"/>
      <c r="DB23" s="890"/>
    </row>
    <row r="24" spans="2:106" s="512" customFormat="1" ht="39" customHeight="1">
      <c r="B24" s="880" t="s">
        <v>991</v>
      </c>
      <c r="C24" s="877"/>
      <c r="D24" s="877"/>
      <c r="E24" s="877"/>
      <c r="F24" s="877"/>
      <c r="G24" s="877"/>
      <c r="H24" s="877"/>
      <c r="I24" s="877"/>
      <c r="J24" s="877"/>
      <c r="K24" s="877"/>
      <c r="L24" s="877"/>
      <c r="M24" s="877"/>
      <c r="N24" s="877"/>
      <c r="O24" s="877"/>
      <c r="P24" s="877"/>
      <c r="Q24" s="877"/>
      <c r="R24" s="877"/>
      <c r="S24" s="877"/>
      <c r="T24" s="877"/>
      <c r="U24" s="877"/>
      <c r="V24" s="877"/>
      <c r="W24" s="877"/>
      <c r="X24" s="877"/>
      <c r="Y24" s="877"/>
      <c r="Z24" s="877"/>
      <c r="AA24" s="877"/>
      <c r="AB24" s="877"/>
      <c r="AC24" s="877"/>
      <c r="AD24" s="877"/>
      <c r="AE24" s="877"/>
      <c r="AF24" s="877"/>
      <c r="AG24" s="877"/>
      <c r="AH24" s="877"/>
      <c r="AI24" s="877"/>
      <c r="AJ24" s="877"/>
      <c r="AK24" s="877"/>
      <c r="AL24" s="877"/>
      <c r="AM24" s="877"/>
      <c r="AN24" s="877"/>
      <c r="AO24" s="877"/>
      <c r="AP24" s="877"/>
      <c r="AQ24" s="877"/>
      <c r="AR24" s="877"/>
      <c r="AS24" s="877"/>
      <c r="AT24" s="877"/>
      <c r="AU24" s="877"/>
      <c r="AV24" s="877"/>
      <c r="AW24" s="877"/>
      <c r="AX24" s="877"/>
      <c r="AY24" s="877"/>
      <c r="AZ24" s="877"/>
      <c r="BA24" s="877"/>
      <c r="BB24" s="877"/>
      <c r="BC24" s="877"/>
      <c r="BD24" s="877"/>
      <c r="BE24" s="877"/>
      <c r="BF24" s="877"/>
      <c r="BG24" s="877"/>
      <c r="BH24" s="877"/>
      <c r="BI24" s="877"/>
      <c r="BJ24" s="877"/>
      <c r="BK24" s="877"/>
      <c r="BL24" s="877"/>
      <c r="BM24" s="877"/>
      <c r="BN24" s="877"/>
      <c r="BO24" s="877"/>
      <c r="BP24" s="877"/>
      <c r="BY24" s="877" t="s">
        <v>181</v>
      </c>
      <c r="BZ24" s="877"/>
      <c r="CA24" s="877"/>
      <c r="CB24" s="877"/>
      <c r="CC24" s="877"/>
      <c r="CD24" s="877"/>
      <c r="CE24" s="877"/>
      <c r="CF24" s="878"/>
      <c r="CG24" s="881" t="str">
        <f>IF('Общие сведения'!D32&lt;&gt;"",'Общие сведения'!D32,"")</f>
        <v/>
      </c>
      <c r="CH24" s="881"/>
      <c r="CI24" s="881"/>
      <c r="CJ24" s="881"/>
      <c r="CK24" s="881"/>
      <c r="CL24" s="881"/>
      <c r="CM24" s="881"/>
      <c r="CN24" s="881"/>
      <c r="CO24" s="881"/>
      <c r="CP24" s="881"/>
      <c r="CQ24" s="881"/>
      <c r="CR24" s="881"/>
      <c r="CS24" s="881"/>
      <c r="CT24" s="881"/>
      <c r="CU24" s="881"/>
      <c r="CV24" s="881"/>
      <c r="CW24" s="881"/>
      <c r="CX24" s="881"/>
      <c r="CY24" s="881"/>
      <c r="CZ24" s="881"/>
      <c r="DA24" s="881"/>
      <c r="DB24" s="881"/>
    </row>
    <row r="25" spans="2:106" s="512" customFormat="1" ht="15" customHeight="1">
      <c r="B25" s="520"/>
      <c r="BX25" s="521"/>
      <c r="BY25" s="521"/>
      <c r="BZ25" s="521"/>
      <c r="CA25" s="521"/>
      <c r="CB25" s="521"/>
      <c r="CC25" s="521"/>
      <c r="CD25" s="521"/>
      <c r="CE25" s="521"/>
      <c r="CG25" s="522"/>
      <c r="CH25" s="522"/>
      <c r="CI25" s="522"/>
      <c r="CJ25" s="522"/>
      <c r="CK25" s="522"/>
      <c r="CL25" s="522"/>
      <c r="CM25" s="522"/>
      <c r="CN25" s="522"/>
      <c r="CO25" s="522"/>
      <c r="CP25" s="522"/>
      <c r="CQ25" s="522"/>
      <c r="CR25" s="522"/>
      <c r="CS25" s="522"/>
      <c r="CT25" s="522"/>
      <c r="CU25" s="522"/>
      <c r="CV25" s="522"/>
      <c r="CW25" s="522"/>
      <c r="CX25" s="522"/>
      <c r="CY25" s="522"/>
      <c r="CZ25" s="522"/>
      <c r="DA25" s="522"/>
      <c r="DB25" s="522"/>
    </row>
    <row r="26" spans="2:106" ht="15" customHeight="1"/>
    <row r="27" spans="2:106" s="512" customFormat="1" ht="30" customHeight="1">
      <c r="B27" s="882" t="s">
        <v>992</v>
      </c>
      <c r="C27" s="882"/>
      <c r="D27" s="882"/>
      <c r="E27" s="882"/>
      <c r="F27" s="882"/>
      <c r="G27" s="882"/>
      <c r="H27" s="882"/>
      <c r="I27" s="882"/>
      <c r="J27" s="882"/>
      <c r="K27" s="882"/>
      <c r="L27" s="882"/>
      <c r="M27" s="882"/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  <c r="AA27" s="882"/>
      <c r="AB27" s="882"/>
      <c r="AC27" s="882"/>
      <c r="AD27" s="882"/>
      <c r="AE27" s="882"/>
      <c r="AF27" s="882"/>
      <c r="AG27" s="882"/>
      <c r="AH27" s="882"/>
      <c r="AI27" s="882"/>
      <c r="AJ27" s="882"/>
      <c r="AK27" s="882"/>
      <c r="AL27" s="882"/>
      <c r="AM27" s="882"/>
      <c r="AN27" s="882"/>
      <c r="AO27" s="882"/>
      <c r="AP27" s="882"/>
      <c r="AQ27" s="882"/>
      <c r="AR27" s="882"/>
      <c r="AS27" s="882"/>
      <c r="AT27" s="882"/>
      <c r="AU27" s="882"/>
      <c r="AV27" s="882"/>
      <c r="AW27" s="882"/>
      <c r="AX27" s="882"/>
      <c r="AY27" s="882"/>
      <c r="AZ27" s="882"/>
      <c r="BA27" s="882"/>
      <c r="BB27" s="882"/>
      <c r="BC27" s="882"/>
      <c r="BD27" s="882"/>
      <c r="BE27" s="882"/>
      <c r="BF27" s="882"/>
      <c r="BG27" s="882"/>
      <c r="BH27" s="882"/>
      <c r="BI27" s="882"/>
      <c r="BJ27" s="882"/>
      <c r="BK27" s="882"/>
      <c r="BL27" s="882"/>
      <c r="BM27" s="882"/>
      <c r="BN27" s="882"/>
      <c r="BO27" s="882"/>
      <c r="BP27" s="882"/>
      <c r="CH27" s="883" t="str">
        <f>IF('Общие сведения'!D27=1,"V","")</f>
        <v/>
      </c>
      <c r="CI27" s="883"/>
      <c r="CJ27" s="883"/>
      <c r="CK27" s="884" t="s">
        <v>1017</v>
      </c>
      <c r="CL27" s="884"/>
      <c r="CM27" s="884"/>
      <c r="CN27" s="884"/>
      <c r="CO27" s="884"/>
      <c r="CP27" s="884"/>
      <c r="CQ27" s="884"/>
      <c r="CR27" s="883" t="str">
        <f>IF('Общие сведения'!D27=0,"V","")</f>
        <v>V</v>
      </c>
      <c r="CS27" s="883"/>
      <c r="CT27" s="883"/>
      <c r="CU27" s="884" t="s">
        <v>1018</v>
      </c>
      <c r="CV27" s="884"/>
      <c r="CW27" s="884"/>
      <c r="CX27" s="884"/>
      <c r="CY27" s="884"/>
      <c r="CZ27" s="884"/>
      <c r="DA27" s="884"/>
      <c r="DB27" s="884"/>
    </row>
    <row r="29" spans="2:106" s="512" customFormat="1" ht="33" customHeight="1">
      <c r="B29" s="888" t="s">
        <v>1005</v>
      </c>
      <c r="C29" s="888"/>
      <c r="D29" s="888"/>
      <c r="E29" s="888"/>
      <c r="F29" s="888"/>
      <c r="G29" s="888"/>
      <c r="H29" s="888"/>
      <c r="I29" s="888"/>
      <c r="J29" s="888"/>
      <c r="K29" s="888"/>
      <c r="L29" s="888"/>
      <c r="M29" s="888"/>
      <c r="N29" s="888"/>
      <c r="O29" s="888"/>
      <c r="P29" s="888"/>
      <c r="Q29" s="888"/>
      <c r="R29" s="888"/>
      <c r="S29" s="888"/>
      <c r="T29" s="888"/>
      <c r="U29" s="888"/>
      <c r="V29" s="888"/>
      <c r="W29" s="888"/>
      <c r="X29" s="888"/>
      <c r="Y29" s="888"/>
      <c r="Z29" s="888"/>
      <c r="AA29" s="888"/>
      <c r="AB29" s="888"/>
      <c r="AC29" s="888"/>
      <c r="AD29" s="888"/>
      <c r="AE29" s="888"/>
      <c r="AF29" s="888"/>
      <c r="AG29" s="888"/>
      <c r="AH29" s="888"/>
      <c r="AI29" s="888"/>
      <c r="AJ29" s="888"/>
      <c r="AK29" s="888"/>
      <c r="AL29" s="888"/>
      <c r="AM29" s="888"/>
      <c r="AN29" s="888"/>
      <c r="AO29" s="888"/>
      <c r="AP29" s="888"/>
      <c r="AQ29" s="888"/>
      <c r="AR29" s="888"/>
      <c r="AS29" s="888"/>
      <c r="AT29" s="888"/>
      <c r="AU29" s="888"/>
      <c r="AV29" s="888"/>
      <c r="AW29" s="888"/>
      <c r="AX29" s="888"/>
      <c r="AY29" s="888"/>
      <c r="AZ29" s="888"/>
      <c r="BA29" s="888"/>
      <c r="BB29" s="888"/>
      <c r="BC29" s="888"/>
      <c r="BD29" s="888"/>
      <c r="BE29" s="888"/>
      <c r="BF29" s="888"/>
      <c r="BG29" s="888"/>
      <c r="BH29" s="888"/>
      <c r="BI29" s="888"/>
      <c r="BJ29" s="888"/>
      <c r="BK29" s="888"/>
      <c r="BL29" s="888"/>
      <c r="BM29" s="888"/>
      <c r="BN29" s="888"/>
      <c r="BO29" s="888"/>
      <c r="BP29" s="888"/>
      <c r="BQ29" s="888"/>
      <c r="BR29" s="888"/>
      <c r="BS29" s="888"/>
      <c r="BT29" s="888"/>
      <c r="BU29" s="888"/>
    </row>
    <row r="30" spans="2:106" s="512" customFormat="1" ht="15.75">
      <c r="B30" s="876" t="str">
        <f>IF('Общие сведения'!D28&lt;&gt;"",'Общие сведения'!D28,"")</f>
        <v/>
      </c>
      <c r="C30" s="876"/>
      <c r="D30" s="876"/>
      <c r="E30" s="876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  <c r="AF30" s="876"/>
      <c r="AG30" s="876"/>
      <c r="AH30" s="876"/>
      <c r="AI30" s="876"/>
      <c r="AJ30" s="876"/>
      <c r="AK30" s="876"/>
      <c r="AL30" s="876"/>
      <c r="AM30" s="876"/>
      <c r="AN30" s="876"/>
      <c r="AO30" s="876"/>
      <c r="AP30" s="876"/>
      <c r="AQ30" s="876"/>
      <c r="AR30" s="876"/>
      <c r="AS30" s="876"/>
      <c r="AT30" s="876"/>
      <c r="AU30" s="876"/>
      <c r="AV30" s="876"/>
      <c r="AW30" s="876"/>
      <c r="AX30" s="876"/>
      <c r="AY30" s="876"/>
      <c r="AZ30" s="876"/>
      <c r="BA30" s="876"/>
      <c r="BB30" s="876"/>
      <c r="BC30" s="876"/>
      <c r="BD30" s="876"/>
      <c r="BE30" s="876"/>
      <c r="BF30" s="876"/>
      <c r="BG30" s="876"/>
      <c r="BH30" s="876"/>
      <c r="BI30" s="876"/>
      <c r="BJ30" s="876"/>
      <c r="BK30" s="876"/>
      <c r="BL30" s="876"/>
      <c r="BM30" s="876"/>
      <c r="BN30" s="876"/>
      <c r="BO30" s="876"/>
      <c r="BP30" s="876"/>
      <c r="BQ30" s="876"/>
      <c r="BR30" s="876"/>
      <c r="BS30" s="876"/>
      <c r="BT30" s="876"/>
      <c r="BU30" s="876"/>
      <c r="BV30" s="523"/>
      <c r="BW30" s="523"/>
      <c r="BX30" s="523"/>
      <c r="BY30" s="523"/>
      <c r="BZ30" s="523"/>
      <c r="CA30" s="523"/>
      <c r="CB30" s="516"/>
      <c r="CC30" s="516"/>
      <c r="CD30" s="516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</row>
    <row r="31" spans="2:106" ht="3" customHeight="1"/>
  </sheetData>
  <mergeCells count="39">
    <mergeCell ref="CN10:DB11"/>
    <mergeCell ref="B19:BR19"/>
    <mergeCell ref="B20:BU21"/>
    <mergeCell ref="B29:BU29"/>
    <mergeCell ref="CG23:DB23"/>
    <mergeCell ref="B13:AP13"/>
    <mergeCell ref="B14:BU14"/>
    <mergeCell ref="B17:BP17"/>
    <mergeCell ref="CH17:CJ17"/>
    <mergeCell ref="CK17:CQ17"/>
    <mergeCell ref="B30:BU30"/>
    <mergeCell ref="BY24:CF24"/>
    <mergeCell ref="BY23:CF23"/>
    <mergeCell ref="B11:BU11"/>
    <mergeCell ref="BY10:CL11"/>
    <mergeCell ref="B10:BU10"/>
    <mergeCell ref="B24:BP24"/>
    <mergeCell ref="CG24:DB24"/>
    <mergeCell ref="B27:BP27"/>
    <mergeCell ref="CH27:CJ27"/>
    <mergeCell ref="CK27:CQ27"/>
    <mergeCell ref="CR27:CT27"/>
    <mergeCell ref="CU27:DB27"/>
    <mergeCell ref="CR17:CT17"/>
    <mergeCell ref="CU17:DB17"/>
    <mergeCell ref="B23:BP23"/>
    <mergeCell ref="B3:DB3"/>
    <mergeCell ref="B4:DB4"/>
    <mergeCell ref="B9:BU9"/>
    <mergeCell ref="BY8:CL9"/>
    <mergeCell ref="BY7:CL7"/>
    <mergeCell ref="BY6:CL6"/>
    <mergeCell ref="B8:BU8"/>
    <mergeCell ref="B6:P6"/>
    <mergeCell ref="Q6:BU6"/>
    <mergeCell ref="CN6:DB6"/>
    <mergeCell ref="CN7:DB7"/>
    <mergeCell ref="B7:BU7"/>
    <mergeCell ref="CN8:DB9"/>
  </mergeCells>
  <pageMargins left="0.78740157480314965" right="0.51181102362204722" top="0.59055118110236227" bottom="0.39370078740157483" header="0.19685039370078741" footer="0.1968503937007874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0.59999389629810485"/>
  </sheetPr>
  <dimension ref="A1:N217"/>
  <sheetViews>
    <sheetView tabSelected="1" topLeftCell="A52" zoomScaleNormal="100" workbookViewId="0">
      <selection activeCell="B88" sqref="B88"/>
    </sheetView>
  </sheetViews>
  <sheetFormatPr defaultColWidth="9.140625" defaultRowHeight="10.5"/>
  <cols>
    <col min="1" max="1" width="5.85546875" style="142" customWidth="1"/>
    <col min="2" max="2" width="63" style="142" customWidth="1"/>
    <col min="3" max="3" width="9.42578125" style="174" bestFit="1" customWidth="1"/>
    <col min="4" max="5" width="12.85546875" style="95" customWidth="1"/>
    <col min="6" max="6" width="12.85546875" style="362" hidden="1" customWidth="1"/>
    <col min="7" max="7" width="2.42578125" style="338" customWidth="1"/>
    <col min="8" max="8" width="2.7109375" style="142" customWidth="1"/>
    <col min="9" max="9" width="14.28515625" style="142" customWidth="1"/>
    <col min="10" max="10" width="14.42578125" style="142" customWidth="1"/>
    <col min="11" max="11" width="17.7109375" style="142" customWidth="1"/>
    <col min="12" max="12" width="32.5703125" style="142" customWidth="1"/>
    <col min="13" max="13" width="12.7109375" style="142" customWidth="1"/>
    <col min="14" max="16384" width="9.140625" style="142"/>
  </cols>
  <sheetData>
    <row r="1" spans="1:14" ht="21.75" customHeight="1">
      <c r="A1" s="894" t="s">
        <v>15</v>
      </c>
      <c r="B1" s="894"/>
      <c r="C1" s="894"/>
      <c r="D1" s="894"/>
      <c r="E1" s="894"/>
      <c r="F1" s="337"/>
    </row>
    <row r="2" spans="1:14" ht="14.25" customHeight="1">
      <c r="A2" s="895" t="str">
        <f>"на " &amp; DAY('Общие сведения'!D2) &amp; CHOOSE(MONTH('Общие сведения'!D2), " января ", " февраля ", " марта ", " апреля ", " мая ", " июня ", " июля ", " августа ", " сентября ", " октября ", " ноября ", " декабря ") &amp; YEAR('Общие сведения'!D2) &amp; " года"</f>
        <v>на 31 марта 2026 года</v>
      </c>
      <c r="B2" s="895"/>
      <c r="C2" s="895"/>
      <c r="D2" s="896"/>
      <c r="E2" s="339" t="s">
        <v>12</v>
      </c>
      <c r="J2" s="93" t="s">
        <v>193</v>
      </c>
    </row>
    <row r="3" spans="1:14" ht="16.5" customHeight="1">
      <c r="A3" s="340"/>
      <c r="B3" s="335"/>
      <c r="C3" s="897" t="s">
        <v>907</v>
      </c>
      <c r="D3" s="898"/>
      <c r="E3" s="341" t="s">
        <v>13</v>
      </c>
    </row>
    <row r="4" spans="1:14" ht="16.5" customHeight="1">
      <c r="A4" s="340"/>
      <c r="B4" s="897" t="s">
        <v>908</v>
      </c>
      <c r="C4" s="897"/>
      <c r="D4" s="898"/>
      <c r="E4" s="472" t="str">
        <f>" " &amp; 'Общие сведения'!D16</f>
        <v xml:space="preserve"> 31 / 03 / 2026</v>
      </c>
      <c r="I4" s="891" t="s">
        <v>994</v>
      </c>
      <c r="J4" s="891"/>
      <c r="K4" s="891"/>
      <c r="L4" s="891"/>
      <c r="M4" s="891"/>
    </row>
    <row r="5" spans="1:14" ht="16.5" customHeight="1">
      <c r="A5" s="901" t="str">
        <f>" Организация " &amp; 'Общие сведения'!D18</f>
        <v xml:space="preserve"> Организация </v>
      </c>
      <c r="B5" s="901"/>
      <c r="C5" s="901"/>
      <c r="D5" s="820" t="s">
        <v>146</v>
      </c>
      <c r="E5" s="342" t="str">
        <f>" " &amp; 'Общие сведения'!$D19</f>
        <v xml:space="preserve"> </v>
      </c>
      <c r="I5" s="891"/>
      <c r="J5" s="891"/>
      <c r="K5" s="891"/>
      <c r="L5" s="891"/>
      <c r="M5" s="891"/>
    </row>
    <row r="6" spans="1:14" ht="16.5" hidden="1" customHeight="1">
      <c r="A6" s="332"/>
      <c r="B6" s="332"/>
      <c r="C6" s="340"/>
      <c r="D6" s="819"/>
      <c r="E6" s="342"/>
      <c r="I6" s="891"/>
      <c r="J6" s="891"/>
      <c r="K6" s="891"/>
      <c r="L6" s="891"/>
      <c r="M6" s="891"/>
    </row>
    <row r="7" spans="1:14" ht="24.75" hidden="1" customHeight="1">
      <c r="A7" s="332"/>
      <c r="B7" s="332"/>
      <c r="C7" s="332"/>
      <c r="D7" s="819"/>
      <c r="E7" s="342"/>
      <c r="I7" s="891"/>
      <c r="J7" s="891"/>
      <c r="K7" s="891"/>
      <c r="L7" s="891"/>
      <c r="M7" s="891"/>
    </row>
    <row r="8" spans="1:14" ht="12" hidden="1" customHeight="1">
      <c r="A8" s="332"/>
      <c r="B8" s="332"/>
      <c r="C8" s="332"/>
      <c r="D8" s="821"/>
      <c r="E8" s="341"/>
      <c r="I8" s="891"/>
      <c r="J8" s="891"/>
      <c r="K8" s="891"/>
      <c r="L8" s="891"/>
      <c r="M8" s="891"/>
      <c r="N8" s="332"/>
    </row>
    <row r="9" spans="1:14" ht="16.5" customHeight="1">
      <c r="A9" s="901" t="s">
        <v>145</v>
      </c>
      <c r="B9" s="901"/>
      <c r="C9" s="808"/>
      <c r="D9" s="820" t="s">
        <v>147</v>
      </c>
      <c r="E9" s="543" t="str">
        <f>" " &amp; 'Общие сведения'!D15</f>
        <v xml:space="preserve"> 384</v>
      </c>
      <c r="I9" s="891"/>
      <c r="J9" s="891"/>
      <c r="K9" s="891"/>
      <c r="L9" s="891"/>
      <c r="M9" s="891"/>
    </row>
    <row r="10" spans="1:14" ht="24.75" hidden="1" customHeight="1">
      <c r="C10" s="142"/>
      <c r="D10" s="142"/>
      <c r="E10" s="142"/>
      <c r="F10" s="142"/>
      <c r="G10" s="142"/>
      <c r="I10" s="891"/>
      <c r="J10" s="891"/>
      <c r="K10" s="891"/>
      <c r="L10" s="891"/>
      <c r="M10" s="891"/>
    </row>
    <row r="11" spans="1:14" ht="10.9" hidden="1" customHeight="1">
      <c r="C11" s="142"/>
      <c r="D11" s="142"/>
      <c r="E11" s="142"/>
      <c r="F11" s="142"/>
      <c r="G11" s="142"/>
      <c r="I11" s="891"/>
      <c r="J11" s="891"/>
      <c r="K11" s="891"/>
      <c r="L11" s="891"/>
      <c r="M11" s="891"/>
    </row>
    <row r="12" spans="1:14" ht="16.5" hidden="1" customHeight="1">
      <c r="C12" s="142"/>
      <c r="D12" s="142"/>
      <c r="E12" s="142"/>
      <c r="F12" s="142"/>
      <c r="G12" s="142"/>
      <c r="I12" s="891"/>
      <c r="J12" s="891"/>
      <c r="K12" s="891"/>
      <c r="L12" s="891"/>
      <c r="M12" s="891"/>
    </row>
    <row r="13" spans="1:14" ht="21.75" hidden="1" customHeight="1">
      <c r="C13" s="142"/>
      <c r="D13" s="142"/>
      <c r="E13" s="142"/>
      <c r="F13" s="142"/>
      <c r="G13" s="142"/>
      <c r="I13" s="891"/>
      <c r="J13" s="891"/>
      <c r="K13" s="891"/>
      <c r="L13" s="891"/>
      <c r="M13" s="891"/>
    </row>
    <row r="14" spans="1:14" ht="16.5" hidden="1" customHeight="1">
      <c r="C14" s="142"/>
      <c r="D14" s="142"/>
      <c r="E14" s="142"/>
      <c r="F14" s="142"/>
      <c r="G14" s="142"/>
      <c r="I14" s="891"/>
      <c r="J14" s="891"/>
      <c r="K14" s="891"/>
      <c r="L14" s="891"/>
      <c r="M14" s="891"/>
    </row>
    <row r="15" spans="1:14" ht="16.5" hidden="1" customHeight="1">
      <c r="C15" s="142"/>
      <c r="D15" s="142"/>
      <c r="E15" s="142"/>
      <c r="F15" s="142"/>
      <c r="G15" s="142"/>
      <c r="I15" s="891"/>
      <c r="J15" s="891"/>
      <c r="K15" s="891"/>
      <c r="L15" s="891"/>
      <c r="M15" s="891"/>
    </row>
    <row r="16" spans="1:14" ht="9" customHeight="1">
      <c r="A16" s="340"/>
      <c r="B16" s="344"/>
      <c r="C16" s="344"/>
      <c r="D16" s="344"/>
      <c r="E16" s="344"/>
      <c r="F16" s="345"/>
      <c r="I16" s="891"/>
      <c r="J16" s="891"/>
      <c r="K16" s="891"/>
      <c r="L16" s="891"/>
      <c r="M16" s="891"/>
    </row>
    <row r="17" spans="1:13" s="174" customFormat="1" ht="30.95" customHeight="1">
      <c r="A17" s="346" t="s">
        <v>16</v>
      </c>
      <c r="B17" s="347" t="s">
        <v>0</v>
      </c>
      <c r="C17" s="231" t="s">
        <v>871</v>
      </c>
      <c r="D17" s="232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17" s="822" t="str">
        <f>"На 31 декабря " &amp; YEAR('Общие сведения'!$D$2)-1 &amp; " г."</f>
        <v>На 31 декабря 2025 г.</v>
      </c>
      <c r="F17" s="537" t="str">
        <f>"На 31 декабря " &amp; YEAR('Общие сведения'!$D$2)-2 &amp; " г."</f>
        <v>На 31 декабря 2024 г.</v>
      </c>
      <c r="G17" s="350"/>
      <c r="I17" s="891"/>
      <c r="J17" s="891"/>
      <c r="K17" s="891"/>
      <c r="L17" s="891"/>
      <c r="M17" s="891"/>
    </row>
    <row r="18" spans="1:13" ht="15.75" hidden="1" customHeight="1">
      <c r="A18" s="856"/>
      <c r="B18" s="779" t="s">
        <v>1121</v>
      </c>
      <c r="C18" s="844"/>
      <c r="D18" s="781" t="s">
        <v>1122</v>
      </c>
      <c r="E18" s="845" t="s">
        <v>1123</v>
      </c>
      <c r="F18" s="845" t="s">
        <v>1124</v>
      </c>
      <c r="I18" s="739"/>
      <c r="J18" s="739"/>
      <c r="K18" s="739"/>
      <c r="L18" s="739"/>
    </row>
    <row r="19" spans="1:13" ht="15.75" customHeight="1">
      <c r="A19" s="1166" t="s">
        <v>17</v>
      </c>
      <c r="B19" s="1167"/>
      <c r="C19" s="1167"/>
      <c r="D19" s="1167"/>
      <c r="E19" s="1168"/>
      <c r="F19" s="541"/>
    </row>
    <row r="20" spans="1:13" s="8" customFormat="1" ht="20.100000000000001" customHeight="1">
      <c r="A20" s="233"/>
      <c r="B20" s="351" t="s">
        <v>18</v>
      </c>
      <c r="C20" s="235"/>
      <c r="D20" s="236"/>
      <c r="E20" s="542"/>
      <c r="F20" s="237"/>
      <c r="G20" s="338"/>
      <c r="H20" s="142"/>
    </row>
    <row r="21" spans="1:13" s="8" customFormat="1" ht="18" customHeight="1">
      <c r="A21" s="233"/>
      <c r="B21" s="336" t="s">
        <v>872</v>
      </c>
      <c r="C21" s="235" t="s">
        <v>885</v>
      </c>
      <c r="D21" s="236"/>
      <c r="E21" s="1165"/>
      <c r="F21" s="237"/>
      <c r="G21" s="338"/>
      <c r="H21" s="142"/>
    </row>
    <row r="22" spans="1:13" s="8" customFormat="1" ht="18" customHeight="1">
      <c r="A22" s="233"/>
      <c r="B22" s="363" t="s">
        <v>133</v>
      </c>
      <c r="C22" s="235" t="s">
        <v>19</v>
      </c>
      <c r="D22" s="236"/>
      <c r="E22" s="1165"/>
      <c r="F22" s="237"/>
      <c r="G22" s="338"/>
      <c r="H22" s="142"/>
    </row>
    <row r="23" spans="1:13" s="8" customFormat="1" ht="18" hidden="1" customHeight="1">
      <c r="A23" s="233"/>
      <c r="B23" s="363"/>
      <c r="C23" s="235"/>
      <c r="D23" s="236"/>
      <c r="E23" s="1165"/>
      <c r="F23" s="237"/>
      <c r="G23" s="338"/>
      <c r="H23" s="142"/>
    </row>
    <row r="24" spans="1:13" s="8" customFormat="1" ht="18" customHeight="1">
      <c r="A24" s="233"/>
      <c r="B24" s="363" t="s">
        <v>1</v>
      </c>
      <c r="C24" s="235" t="s">
        <v>20</v>
      </c>
      <c r="D24" s="236"/>
      <c r="E24" s="1165"/>
      <c r="F24" s="237"/>
      <c r="G24" s="338"/>
      <c r="H24" s="142"/>
    </row>
    <row r="25" spans="1:13" s="8" customFormat="1" ht="18" hidden="1" customHeight="1">
      <c r="A25" s="233"/>
      <c r="B25" s="336"/>
      <c r="C25" s="235"/>
      <c r="D25" s="236"/>
      <c r="E25" s="1165"/>
      <c r="F25" s="237"/>
      <c r="G25" s="338"/>
      <c r="H25" s="142"/>
    </row>
    <row r="26" spans="1:13" s="8" customFormat="1" ht="18" customHeight="1">
      <c r="A26" s="233"/>
      <c r="B26" s="336" t="s">
        <v>134</v>
      </c>
      <c r="C26" s="235" t="s">
        <v>21</v>
      </c>
      <c r="D26" s="236"/>
      <c r="E26" s="1165"/>
      <c r="F26" s="237"/>
      <c r="G26" s="338"/>
      <c r="H26" s="142"/>
    </row>
    <row r="27" spans="1:13" s="8" customFormat="1" ht="18" customHeight="1">
      <c r="A27" s="233"/>
      <c r="B27" s="336" t="s">
        <v>135</v>
      </c>
      <c r="C27" s="235" t="s">
        <v>22</v>
      </c>
      <c r="D27" s="236"/>
      <c r="E27" s="1165"/>
      <c r="F27" s="237"/>
      <c r="G27" s="338"/>
      <c r="H27" s="142"/>
    </row>
    <row r="28" spans="1:13" s="8" customFormat="1" ht="18" customHeight="1">
      <c r="A28" s="233"/>
      <c r="B28" s="336" t="s">
        <v>873</v>
      </c>
      <c r="C28" s="235" t="s">
        <v>23</v>
      </c>
      <c r="D28" s="236"/>
      <c r="E28" s="1165"/>
      <c r="F28" s="237"/>
      <c r="G28" s="338"/>
      <c r="H28" s="142"/>
    </row>
    <row r="29" spans="1:13" s="8" customFormat="1" ht="18" customHeight="1">
      <c r="A29" s="233"/>
      <c r="B29" s="363" t="s">
        <v>362</v>
      </c>
      <c r="C29" s="235" t="s">
        <v>24</v>
      </c>
      <c r="D29" s="236"/>
      <c r="E29" s="1165"/>
      <c r="F29" s="237"/>
      <c r="G29" s="338"/>
      <c r="H29" s="142"/>
    </row>
    <row r="30" spans="1:13" s="8" customFormat="1" ht="18" customHeight="1">
      <c r="A30" s="233"/>
      <c r="B30" s="363" t="s">
        <v>874</v>
      </c>
      <c r="C30" s="235" t="s">
        <v>25</v>
      </c>
      <c r="D30" s="236"/>
      <c r="E30" s="1165"/>
      <c r="F30" s="237"/>
      <c r="G30" s="338"/>
      <c r="H30" s="142"/>
    </row>
    <row r="31" spans="1:13" s="8" customFormat="1" ht="18" customHeight="1">
      <c r="A31" s="233"/>
      <c r="B31" s="363" t="s">
        <v>875</v>
      </c>
      <c r="C31" s="235" t="s">
        <v>26</v>
      </c>
      <c r="D31" s="236"/>
      <c r="E31" s="1165"/>
      <c r="F31" s="237"/>
      <c r="G31" s="338"/>
      <c r="H31" s="142"/>
    </row>
    <row r="32" spans="1:13" s="8" customFormat="1" ht="18" customHeight="1">
      <c r="A32" s="233"/>
      <c r="B32" s="336" t="s">
        <v>884</v>
      </c>
      <c r="C32" s="235" t="s">
        <v>28</v>
      </c>
      <c r="D32" s="236"/>
      <c r="E32" s="1165"/>
      <c r="F32" s="237"/>
      <c r="G32" s="338"/>
      <c r="H32" s="142"/>
    </row>
    <row r="33" spans="1:8" s="8" customFormat="1" ht="18" customHeight="1">
      <c r="A33" s="233"/>
      <c r="B33" s="336" t="s">
        <v>876</v>
      </c>
      <c r="C33" s="235" t="s">
        <v>29</v>
      </c>
      <c r="D33" s="236"/>
      <c r="E33" s="1165"/>
      <c r="F33" s="237"/>
      <c r="G33" s="338"/>
      <c r="H33" s="142"/>
    </row>
    <row r="34" spans="1:8" s="8" customFormat="1" ht="18" customHeight="1">
      <c r="A34" s="233"/>
      <c r="B34" s="363" t="s">
        <v>877</v>
      </c>
      <c r="C34" s="235" t="s">
        <v>30</v>
      </c>
      <c r="D34" s="236"/>
      <c r="E34" s="1165"/>
      <c r="F34" s="237"/>
      <c r="G34" s="338"/>
      <c r="H34" s="142"/>
    </row>
    <row r="35" spans="1:8" s="8" customFormat="1" ht="18" customHeight="1">
      <c r="A35" s="233"/>
      <c r="B35" s="363" t="s">
        <v>878</v>
      </c>
      <c r="C35" s="235" t="s">
        <v>31</v>
      </c>
      <c r="D35" s="236"/>
      <c r="E35" s="1165"/>
      <c r="F35" s="237"/>
      <c r="G35" s="338"/>
      <c r="H35" s="142"/>
    </row>
    <row r="36" spans="1:8" s="8" customFormat="1" ht="18" customHeight="1">
      <c r="A36" s="233"/>
      <c r="B36" s="363" t="s">
        <v>4</v>
      </c>
      <c r="C36" s="235" t="s">
        <v>136</v>
      </c>
      <c r="D36" s="236"/>
      <c r="E36" s="1165"/>
      <c r="F36" s="237"/>
      <c r="G36" s="338"/>
      <c r="H36" s="142"/>
    </row>
    <row r="37" spans="1:8" s="8" customFormat="1" ht="18" customHeight="1">
      <c r="A37" s="233"/>
      <c r="B37" s="363" t="s">
        <v>879</v>
      </c>
      <c r="C37" s="235" t="s">
        <v>137</v>
      </c>
      <c r="D37" s="236"/>
      <c r="E37" s="1165"/>
      <c r="F37" s="237"/>
      <c r="G37" s="338"/>
      <c r="H37" s="142"/>
    </row>
    <row r="38" spans="1:8" s="8" customFormat="1" ht="18" customHeight="1">
      <c r="A38" s="233"/>
      <c r="B38" s="336" t="s">
        <v>27</v>
      </c>
      <c r="C38" s="235" t="s">
        <v>138</v>
      </c>
      <c r="D38" s="236"/>
      <c r="E38" s="1165"/>
      <c r="F38" s="237"/>
      <c r="G38" s="338"/>
      <c r="H38" s="142"/>
    </row>
    <row r="39" spans="1:8" s="8" customFormat="1" ht="18" customHeight="1">
      <c r="A39" s="233"/>
      <c r="B39" s="336" t="s">
        <v>863</v>
      </c>
      <c r="C39" s="235" t="s">
        <v>139</v>
      </c>
      <c r="D39" s="236"/>
      <c r="E39" s="1165"/>
      <c r="F39" s="237"/>
      <c r="G39" s="338"/>
      <c r="H39" s="142"/>
    </row>
    <row r="40" spans="1:8" s="8" customFormat="1" ht="18" customHeight="1">
      <c r="A40" s="233"/>
      <c r="B40" s="363" t="s">
        <v>880</v>
      </c>
      <c r="C40" s="235" t="s">
        <v>881</v>
      </c>
      <c r="D40" s="236"/>
      <c r="E40" s="1165"/>
      <c r="F40" s="237"/>
      <c r="G40" s="338"/>
      <c r="H40" s="142"/>
    </row>
    <row r="41" spans="1:8" s="8" customFormat="1" ht="18" customHeight="1">
      <c r="A41" s="233"/>
      <c r="B41" s="234" t="s">
        <v>7</v>
      </c>
      <c r="C41" s="235" t="s">
        <v>140</v>
      </c>
      <c r="D41" s="236"/>
      <c r="E41" s="1165"/>
      <c r="F41" s="237"/>
      <c r="G41" s="338"/>
      <c r="H41" s="142"/>
    </row>
    <row r="42" spans="1:8" s="8" customFormat="1" ht="18" customHeight="1">
      <c r="A42" s="233"/>
      <c r="B42" s="234" t="s">
        <v>8</v>
      </c>
      <c r="C42" s="235" t="s">
        <v>882</v>
      </c>
      <c r="D42" s="236"/>
      <c r="E42" s="1165"/>
      <c r="F42" s="237"/>
      <c r="G42" s="338"/>
      <c r="H42" s="142"/>
    </row>
    <row r="43" spans="1:8" s="8" customFormat="1" ht="18" customHeight="1">
      <c r="A43" s="233"/>
      <c r="B43" s="234" t="s">
        <v>9</v>
      </c>
      <c r="C43" s="235" t="s">
        <v>883</v>
      </c>
      <c r="D43" s="236"/>
      <c r="E43" s="1165"/>
      <c r="F43" s="237"/>
      <c r="G43" s="338"/>
      <c r="H43" s="142"/>
    </row>
    <row r="44" spans="1:8" s="8" customFormat="1" ht="18" customHeight="1">
      <c r="A44" s="422"/>
      <c r="B44" s="581" t="s">
        <v>32</v>
      </c>
      <c r="C44" s="582" t="s">
        <v>33</v>
      </c>
      <c r="D44" s="583"/>
      <c r="E44" s="542"/>
      <c r="F44" s="1172"/>
      <c r="G44" s="338"/>
      <c r="H44" s="142"/>
    </row>
    <row r="45" spans="1:8" s="8" customFormat="1" ht="9.75" hidden="1" customHeight="1">
      <c r="A45" s="857"/>
      <c r="B45" s="846"/>
      <c r="C45" s="847"/>
      <c r="D45" s="848"/>
      <c r="E45" s="1170"/>
      <c r="F45" s="849"/>
      <c r="G45" s="338"/>
      <c r="H45" s="142"/>
    </row>
    <row r="46" spans="1:8" s="8" customFormat="1" ht="20.100000000000001" hidden="1" customHeight="1">
      <c r="A46" s="857"/>
      <c r="B46" s="846"/>
      <c r="C46" s="847"/>
      <c r="D46" s="892" t="s">
        <v>144</v>
      </c>
      <c r="E46" s="893"/>
      <c r="F46" s="850"/>
      <c r="G46" s="338"/>
      <c r="H46" s="142"/>
    </row>
    <row r="47" spans="1:8" s="174" customFormat="1" ht="30.75" hidden="1" customHeight="1">
      <c r="A47" s="584" t="s">
        <v>16</v>
      </c>
      <c r="B47" s="585" t="s">
        <v>0</v>
      </c>
      <c r="C47" s="586" t="s">
        <v>871</v>
      </c>
      <c r="D47" s="587" t="str">
        <f>$D$17</f>
        <v>На 31 марта  2026 г.</v>
      </c>
      <c r="E47" s="588" t="str">
        <f>$E$17</f>
        <v>На 31 декабря 2025 г.</v>
      </c>
      <c r="F47" s="349" t="str">
        <f>$F$17</f>
        <v>На 31 декабря 2024 г.</v>
      </c>
      <c r="G47" s="350"/>
    </row>
    <row r="48" spans="1:8" ht="15.75" hidden="1" customHeight="1">
      <c r="A48" s="902" t="s">
        <v>17</v>
      </c>
      <c r="B48" s="903"/>
      <c r="C48" s="903"/>
      <c r="D48" s="903"/>
      <c r="E48" s="904"/>
      <c r="F48" s="541"/>
    </row>
    <row r="49" spans="1:8" s="8" customFormat="1" ht="15.75" customHeight="1">
      <c r="A49" s="233"/>
      <c r="B49" s="351" t="s">
        <v>34</v>
      </c>
      <c r="C49" s="235"/>
      <c r="D49" s="355"/>
      <c r="E49" s="1173"/>
      <c r="F49" s="356"/>
      <c r="G49" s="338"/>
      <c r="H49" s="142"/>
    </row>
    <row r="50" spans="1:8" s="8" customFormat="1" ht="18" customHeight="1">
      <c r="A50" s="233"/>
      <c r="B50" s="336" t="s">
        <v>886</v>
      </c>
      <c r="C50" s="235" t="s">
        <v>35</v>
      </c>
      <c r="D50" s="236"/>
      <c r="E50" s="1165"/>
      <c r="F50" s="237"/>
      <c r="G50" s="338"/>
      <c r="H50" s="142"/>
    </row>
    <row r="51" spans="1:8" s="8" customFormat="1" ht="18" customHeight="1">
      <c r="A51" s="233"/>
      <c r="B51" s="363" t="s">
        <v>5</v>
      </c>
      <c r="C51" s="235" t="s">
        <v>36</v>
      </c>
      <c r="D51" s="236"/>
      <c r="E51" s="1165"/>
      <c r="F51" s="237"/>
      <c r="G51" s="338"/>
      <c r="H51" s="142"/>
    </row>
    <row r="52" spans="1:8" s="8" customFormat="1" ht="18" customHeight="1">
      <c r="A52" s="233"/>
      <c r="B52" s="363" t="s">
        <v>6</v>
      </c>
      <c r="C52" s="235" t="s">
        <v>906</v>
      </c>
      <c r="D52" s="236"/>
      <c r="E52" s="1165"/>
      <c r="F52" s="237"/>
      <c r="G52" s="338"/>
      <c r="H52" s="142"/>
    </row>
    <row r="53" spans="1:8" s="8" customFormat="1" ht="18" customHeight="1">
      <c r="A53" s="233"/>
      <c r="B53" s="363" t="s">
        <v>338</v>
      </c>
      <c r="C53" s="235" t="s">
        <v>37</v>
      </c>
      <c r="D53" s="236"/>
      <c r="E53" s="1165"/>
      <c r="F53" s="237"/>
      <c r="G53" s="338"/>
      <c r="H53" s="142"/>
    </row>
    <row r="54" spans="1:8" s="8" customFormat="1" ht="18" customHeight="1">
      <c r="A54" s="233"/>
      <c r="B54" s="363" t="s">
        <v>339</v>
      </c>
      <c r="C54" s="235" t="s">
        <v>38</v>
      </c>
      <c r="D54" s="236"/>
      <c r="E54" s="1165"/>
      <c r="F54" s="237"/>
      <c r="G54" s="338"/>
      <c r="H54" s="142"/>
    </row>
    <row r="55" spans="1:8" s="8" customFormat="1" ht="18" customHeight="1">
      <c r="A55" s="233"/>
      <c r="B55" s="336" t="s">
        <v>887</v>
      </c>
      <c r="C55" s="235" t="s">
        <v>39</v>
      </c>
      <c r="D55" s="236"/>
      <c r="E55" s="1165"/>
      <c r="F55" s="237"/>
      <c r="G55" s="338"/>
      <c r="H55" s="142"/>
    </row>
    <row r="56" spans="1:8" s="8" customFormat="1" ht="18" customHeight="1">
      <c r="A56" s="233"/>
      <c r="B56" s="336" t="s">
        <v>40</v>
      </c>
      <c r="C56" s="235" t="s">
        <v>41</v>
      </c>
      <c r="D56" s="236"/>
      <c r="E56" s="1165"/>
      <c r="F56" s="237"/>
      <c r="G56" s="338"/>
      <c r="H56" s="142"/>
    </row>
    <row r="57" spans="1:8" s="8" customFormat="1" ht="18" customHeight="1">
      <c r="A57" s="233"/>
      <c r="B57" s="336" t="s">
        <v>888</v>
      </c>
      <c r="C57" s="235" t="s">
        <v>42</v>
      </c>
      <c r="D57" s="236"/>
      <c r="E57" s="1165"/>
      <c r="F57" s="237"/>
      <c r="G57" s="338"/>
      <c r="H57" s="142"/>
    </row>
    <row r="58" spans="1:8" s="8" customFormat="1" ht="18" hidden="1" customHeight="1">
      <c r="A58" s="233"/>
      <c r="B58" s="363"/>
      <c r="C58" s="235"/>
      <c r="D58" s="236"/>
      <c r="E58" s="1165"/>
      <c r="F58" s="237"/>
      <c r="G58" s="338"/>
      <c r="H58" s="142"/>
    </row>
    <row r="59" spans="1:8" s="8" customFormat="1" ht="18" customHeight="1">
      <c r="A59" s="233"/>
      <c r="B59" s="363" t="s">
        <v>7</v>
      </c>
      <c r="C59" s="235" t="s">
        <v>43</v>
      </c>
      <c r="D59" s="236"/>
      <c r="E59" s="1165"/>
      <c r="F59" s="237"/>
      <c r="G59" s="338"/>
      <c r="H59" s="142"/>
    </row>
    <row r="60" spans="1:8" s="8" customFormat="1" ht="18" customHeight="1">
      <c r="A60" s="233"/>
      <c r="B60" s="363" t="s">
        <v>8</v>
      </c>
      <c r="C60" s="235" t="s">
        <v>44</v>
      </c>
      <c r="D60" s="236"/>
      <c r="E60" s="1165"/>
      <c r="F60" s="237"/>
      <c r="G60" s="338"/>
      <c r="H60" s="142"/>
    </row>
    <row r="61" spans="1:8" s="8" customFormat="1" ht="20.100000000000001" hidden="1" customHeight="1">
      <c r="A61" s="233"/>
      <c r="B61" s="365"/>
      <c r="C61" s="366"/>
      <c r="D61" s="367"/>
      <c r="E61" s="1174"/>
      <c r="F61" s="368"/>
      <c r="G61" s="338"/>
      <c r="H61" s="142"/>
    </row>
    <row r="62" spans="1:8" s="8" customFormat="1" ht="33.75" hidden="1" customHeight="1">
      <c r="A62" s="233"/>
      <c r="B62" s="369"/>
      <c r="C62" s="366"/>
      <c r="D62" s="367"/>
      <c r="E62" s="1174"/>
      <c r="F62" s="368"/>
      <c r="G62" s="338"/>
      <c r="H62" s="142"/>
    </row>
    <row r="63" spans="1:8" s="8" customFormat="1" ht="20.100000000000001" hidden="1" customHeight="1">
      <c r="A63" s="233"/>
      <c r="B63" s="365"/>
      <c r="C63" s="366"/>
      <c r="D63" s="367"/>
      <c r="E63" s="1174"/>
      <c r="F63" s="368"/>
      <c r="G63" s="338"/>
      <c r="H63" s="142"/>
    </row>
    <row r="64" spans="1:8" s="8" customFormat="1" ht="20.100000000000001" hidden="1" customHeight="1">
      <c r="A64" s="233"/>
      <c r="B64" s="365"/>
      <c r="C64" s="366"/>
      <c r="D64" s="367"/>
      <c r="E64" s="1174"/>
      <c r="F64" s="368"/>
      <c r="G64" s="338"/>
      <c r="H64" s="142"/>
    </row>
    <row r="65" spans="1:8" s="8" customFormat="1" ht="20.100000000000001" hidden="1" customHeight="1">
      <c r="A65" s="233"/>
      <c r="B65" s="365"/>
      <c r="C65" s="366"/>
      <c r="D65" s="367"/>
      <c r="E65" s="1174"/>
      <c r="F65" s="368"/>
      <c r="G65" s="338"/>
      <c r="H65" s="142"/>
    </row>
    <row r="66" spans="1:8" s="8" customFormat="1" ht="18" customHeight="1">
      <c r="A66" s="233"/>
      <c r="B66" s="363" t="s">
        <v>9</v>
      </c>
      <c r="C66" s="235" t="s">
        <v>45</v>
      </c>
      <c r="D66" s="236"/>
      <c r="E66" s="1165"/>
      <c r="F66" s="237"/>
      <c r="G66" s="338"/>
      <c r="H66" s="142"/>
    </row>
    <row r="67" spans="1:8" s="8" customFormat="1" ht="18" customHeight="1">
      <c r="A67" s="233"/>
      <c r="B67" s="336" t="s">
        <v>889</v>
      </c>
      <c r="C67" s="235" t="s">
        <v>46</v>
      </c>
      <c r="D67" s="236"/>
      <c r="E67" s="1165"/>
      <c r="F67" s="237"/>
      <c r="G67" s="338"/>
      <c r="H67" s="142"/>
    </row>
    <row r="68" spans="1:8" s="8" customFormat="1" ht="18" customHeight="1">
      <c r="A68" s="233"/>
      <c r="B68" s="363" t="s">
        <v>879</v>
      </c>
      <c r="C68" s="235" t="s">
        <v>47</v>
      </c>
      <c r="D68" s="236"/>
      <c r="E68" s="1165"/>
      <c r="F68" s="237"/>
      <c r="G68" s="338"/>
      <c r="H68" s="142"/>
    </row>
    <row r="69" spans="1:8" s="8" customFormat="1" ht="18" customHeight="1">
      <c r="A69" s="233"/>
      <c r="B69" s="336" t="s">
        <v>890</v>
      </c>
      <c r="C69" s="235" t="s">
        <v>48</v>
      </c>
      <c r="D69" s="236"/>
      <c r="E69" s="1165"/>
      <c r="F69" s="237"/>
      <c r="G69" s="338"/>
      <c r="H69" s="142"/>
    </row>
    <row r="70" spans="1:8" s="8" customFormat="1" ht="20.100000000000001" hidden="1" customHeight="1">
      <c r="A70" s="233"/>
      <c r="B70" s="234"/>
      <c r="C70" s="235"/>
      <c r="D70" s="236"/>
      <c r="E70" s="1165"/>
      <c r="F70" s="237"/>
      <c r="G70" s="338"/>
      <c r="H70" s="142"/>
    </row>
    <row r="71" spans="1:8" s="8" customFormat="1" ht="18" customHeight="1">
      <c r="A71" s="233"/>
      <c r="B71" s="363" t="s">
        <v>50</v>
      </c>
      <c r="C71" s="235" t="s">
        <v>49</v>
      </c>
      <c r="D71" s="236"/>
      <c r="E71" s="1165"/>
      <c r="F71" s="237"/>
      <c r="G71" s="338"/>
      <c r="H71" s="142"/>
    </row>
    <row r="72" spans="1:8" s="8" customFormat="1" ht="18" customHeight="1">
      <c r="A72" s="233"/>
      <c r="B72" s="363" t="s">
        <v>52</v>
      </c>
      <c r="C72" s="235" t="s">
        <v>51</v>
      </c>
      <c r="D72" s="236"/>
      <c r="E72" s="1165"/>
      <c r="F72" s="237"/>
      <c r="G72" s="338"/>
      <c r="H72" s="142"/>
    </row>
    <row r="73" spans="1:8" s="8" customFormat="1" ht="18" customHeight="1">
      <c r="A73" s="233"/>
      <c r="B73" s="363" t="s">
        <v>53</v>
      </c>
      <c r="C73" s="235" t="s">
        <v>54</v>
      </c>
      <c r="D73" s="236"/>
      <c r="E73" s="1165"/>
      <c r="F73" s="237"/>
      <c r="G73" s="338"/>
      <c r="H73" s="142"/>
    </row>
    <row r="74" spans="1:8" s="8" customFormat="1" ht="18" customHeight="1">
      <c r="A74" s="233"/>
      <c r="B74" s="336" t="s">
        <v>168</v>
      </c>
      <c r="C74" s="235" t="s">
        <v>55</v>
      </c>
      <c r="D74" s="236"/>
      <c r="E74" s="1165"/>
      <c r="F74" s="237"/>
      <c r="G74" s="338"/>
      <c r="H74" s="142"/>
    </row>
    <row r="75" spans="1:8" s="8" customFormat="1" ht="20.100000000000001" hidden="1" customHeight="1">
      <c r="A75" s="233"/>
      <c r="B75" s="234"/>
      <c r="C75" s="235"/>
      <c r="D75" s="236"/>
      <c r="E75" s="1165"/>
      <c r="F75" s="237"/>
      <c r="G75" s="338"/>
      <c r="H75" s="142"/>
    </row>
    <row r="76" spans="1:8" s="8" customFormat="1" ht="18" customHeight="1">
      <c r="A76" s="233"/>
      <c r="B76" s="357" t="s">
        <v>56</v>
      </c>
      <c r="C76" s="235" t="s">
        <v>57</v>
      </c>
      <c r="D76" s="236"/>
      <c r="E76" s="1165"/>
      <c r="F76" s="237"/>
      <c r="G76" s="338"/>
      <c r="H76" s="142"/>
    </row>
    <row r="77" spans="1:8" s="8" customFormat="1" ht="18" customHeight="1">
      <c r="A77" s="538"/>
      <c r="B77" s="539" t="s">
        <v>1161</v>
      </c>
      <c r="C77" s="540" t="s">
        <v>58</v>
      </c>
      <c r="D77" s="358"/>
      <c r="E77" s="1171"/>
      <c r="F77" s="359"/>
      <c r="G77" s="338"/>
      <c r="H77" s="142"/>
    </row>
    <row r="78" spans="1:8" s="8" customFormat="1" ht="14.25" hidden="1" customHeight="1">
      <c r="A78" s="857"/>
      <c r="B78" s="851"/>
      <c r="C78" s="847"/>
      <c r="D78" s="848"/>
      <c r="E78" s="848"/>
      <c r="F78" s="849"/>
      <c r="G78" s="338"/>
      <c r="H78" s="142"/>
    </row>
    <row r="79" spans="1:8" s="8" customFormat="1" ht="14.25" hidden="1" customHeight="1">
      <c r="A79" s="857"/>
      <c r="B79" s="851"/>
      <c r="C79" s="847"/>
      <c r="D79" s="848"/>
      <c r="E79" s="848"/>
      <c r="F79" s="849"/>
      <c r="G79" s="338"/>
      <c r="H79" s="142"/>
    </row>
    <row r="80" spans="1:8" s="8" customFormat="1" ht="14.25" hidden="1" customHeight="1">
      <c r="A80" s="857"/>
      <c r="B80" s="851"/>
      <c r="C80" s="847"/>
      <c r="D80" s="848"/>
      <c r="E80" s="848"/>
      <c r="F80" s="849"/>
      <c r="G80" s="338"/>
      <c r="H80" s="142"/>
    </row>
    <row r="81" spans="1:8" s="8" customFormat="1" ht="14.25" hidden="1" customHeight="1">
      <c r="A81" s="857"/>
      <c r="B81" s="851"/>
      <c r="C81" s="847"/>
      <c r="D81" s="848"/>
      <c r="E81" s="848"/>
      <c r="F81" s="849"/>
      <c r="G81" s="338"/>
      <c r="H81" s="142"/>
    </row>
    <row r="82" spans="1:8" s="8" customFormat="1" ht="14.25" hidden="1" customHeight="1">
      <c r="A82" s="857"/>
      <c r="B82" s="851"/>
      <c r="C82" s="847"/>
      <c r="D82" s="848"/>
      <c r="E82" s="848"/>
      <c r="F82" s="849"/>
      <c r="G82" s="338"/>
      <c r="H82" s="142"/>
    </row>
    <row r="83" spans="1:8" s="8" customFormat="1" ht="14.25" hidden="1" customHeight="1">
      <c r="A83" s="857"/>
      <c r="B83" s="851"/>
      <c r="C83" s="847"/>
      <c r="D83" s="848"/>
      <c r="E83" s="848"/>
      <c r="F83" s="849"/>
      <c r="G83" s="338"/>
      <c r="H83" s="142"/>
    </row>
    <row r="84" spans="1:8" s="8" customFormat="1" ht="14.25" hidden="1" customHeight="1">
      <c r="A84" s="857"/>
      <c r="B84" s="851"/>
      <c r="C84" s="847"/>
      <c r="D84" s="848"/>
      <c r="E84" s="848"/>
      <c r="F84" s="849"/>
      <c r="G84" s="338"/>
      <c r="H84" s="142"/>
    </row>
    <row r="85" spans="1:8" s="8" customFormat="1" ht="14.25" hidden="1" customHeight="1">
      <c r="A85" s="857"/>
      <c r="B85" s="851"/>
      <c r="C85" s="847"/>
      <c r="D85" s="848"/>
      <c r="E85" s="848"/>
      <c r="F85" s="849"/>
      <c r="G85" s="338"/>
      <c r="H85" s="142"/>
    </row>
    <row r="86" spans="1:8" s="8" customFormat="1" ht="14.25" hidden="1" customHeight="1">
      <c r="A86" s="857"/>
      <c r="B86" s="851"/>
      <c r="C86" s="847"/>
      <c r="D86" s="848"/>
      <c r="E86" s="848"/>
      <c r="F86" s="849"/>
      <c r="G86" s="338"/>
      <c r="H86" s="142"/>
    </row>
    <row r="87" spans="1:8" s="8" customFormat="1" ht="14.25" hidden="1" customHeight="1">
      <c r="A87" s="857"/>
      <c r="B87" s="851"/>
      <c r="C87" s="847"/>
      <c r="D87" s="848"/>
      <c r="E87" s="848"/>
      <c r="F87" s="849"/>
      <c r="G87" s="338"/>
      <c r="H87" s="142"/>
    </row>
    <row r="88" spans="1:8" s="8" customFormat="1" ht="19.5" customHeight="1">
      <c r="A88" s="1175"/>
      <c r="B88" s="846"/>
      <c r="C88" s="847"/>
      <c r="D88" s="892" t="s">
        <v>144</v>
      </c>
      <c r="E88" s="892"/>
      <c r="F88" s="893"/>
      <c r="G88" s="338"/>
      <c r="H88" s="142"/>
    </row>
    <row r="89" spans="1:8" s="174" customFormat="1" ht="28.5" customHeight="1">
      <c r="A89" s="346" t="s">
        <v>16</v>
      </c>
      <c r="B89" s="347" t="s">
        <v>0</v>
      </c>
      <c r="C89" s="231" t="s">
        <v>871</v>
      </c>
      <c r="D89" s="348" t="str">
        <f>$D$17</f>
        <v>На 31 марта  2026 г.</v>
      </c>
      <c r="E89" s="823" t="str">
        <f>$E$17</f>
        <v>На 31 декабря 2025 г.</v>
      </c>
      <c r="F89" s="349" t="str">
        <f>$F$17</f>
        <v>На 31 декабря 2024 г.</v>
      </c>
      <c r="G89" s="350"/>
    </row>
    <row r="90" spans="1:8" ht="15" customHeight="1">
      <c r="A90" s="1166" t="s">
        <v>59</v>
      </c>
      <c r="B90" s="1167"/>
      <c r="C90" s="1167"/>
      <c r="D90" s="1167"/>
      <c r="E90" s="1168"/>
      <c r="F90" s="541"/>
    </row>
    <row r="91" spans="1:8" s="8" customFormat="1" ht="13.5" customHeight="1">
      <c r="A91" s="233"/>
      <c r="B91" s="351" t="s">
        <v>1120</v>
      </c>
      <c r="C91" s="235"/>
      <c r="D91" s="355"/>
      <c r="E91" s="1169"/>
      <c r="F91" s="356"/>
      <c r="G91" s="338"/>
      <c r="H91" s="142"/>
    </row>
    <row r="92" spans="1:8" s="8" customFormat="1" ht="18.75" customHeight="1">
      <c r="A92" s="233"/>
      <c r="B92" s="336" t="s">
        <v>204</v>
      </c>
      <c r="C92" s="235" t="s">
        <v>60</v>
      </c>
      <c r="D92" s="236"/>
      <c r="E92" s="237"/>
      <c r="F92" s="237"/>
      <c r="G92" s="338"/>
      <c r="H92" s="142"/>
    </row>
    <row r="93" spans="1:8" s="8" customFormat="1" ht="21">
      <c r="A93" s="233"/>
      <c r="B93" s="336" t="s">
        <v>891</v>
      </c>
      <c r="C93" s="235" t="s">
        <v>61</v>
      </c>
      <c r="D93" s="236"/>
      <c r="E93" s="237"/>
      <c r="F93" s="237"/>
      <c r="G93" s="338"/>
      <c r="H93" s="142"/>
    </row>
    <row r="94" spans="1:8" s="8" customFormat="1" ht="18.75" hidden="1" customHeight="1">
      <c r="A94" s="233"/>
      <c r="B94" s="336" t="s">
        <v>892</v>
      </c>
      <c r="C94" s="235" t="s">
        <v>62</v>
      </c>
      <c r="D94" s="236"/>
      <c r="E94" s="237"/>
      <c r="F94" s="237"/>
      <c r="G94" s="338"/>
      <c r="H94" s="142"/>
    </row>
    <row r="95" spans="1:8" s="8" customFormat="1" ht="18.75" customHeight="1">
      <c r="A95" s="233"/>
      <c r="B95" s="336" t="s">
        <v>893</v>
      </c>
      <c r="C95" s="235" t="s">
        <v>63</v>
      </c>
      <c r="D95" s="236"/>
      <c r="E95" s="237"/>
      <c r="F95" s="237"/>
      <c r="G95" s="338"/>
      <c r="H95" s="142"/>
    </row>
    <row r="96" spans="1:8" s="8" customFormat="1" ht="20.100000000000001" customHeight="1">
      <c r="A96" s="233"/>
      <c r="B96" s="363" t="s">
        <v>894</v>
      </c>
      <c r="C96" s="235" t="s">
        <v>783</v>
      </c>
      <c r="D96" s="236"/>
      <c r="E96" s="237"/>
      <c r="F96" s="237"/>
      <c r="G96" s="338"/>
      <c r="H96" s="142"/>
    </row>
    <row r="97" spans="1:8" s="8" customFormat="1" ht="18.75" customHeight="1">
      <c r="A97" s="233"/>
      <c r="B97" s="336" t="s">
        <v>64</v>
      </c>
      <c r="C97" s="235" t="s">
        <v>65</v>
      </c>
      <c r="D97" s="236"/>
      <c r="E97" s="237"/>
      <c r="F97" s="237"/>
      <c r="G97" s="338"/>
      <c r="H97" s="142"/>
    </row>
    <row r="98" spans="1:8" s="8" customFormat="1" ht="18.75" customHeight="1">
      <c r="A98" s="233"/>
      <c r="B98" s="336" t="s">
        <v>66</v>
      </c>
      <c r="C98" s="235" t="s">
        <v>67</v>
      </c>
      <c r="D98" s="236"/>
      <c r="E98" s="237"/>
      <c r="F98" s="237"/>
      <c r="G98" s="338"/>
      <c r="H98" s="142"/>
    </row>
    <row r="99" spans="1:8" s="8" customFormat="1" ht="15" hidden="1" customHeight="1">
      <c r="A99" s="233"/>
      <c r="B99" s="336"/>
      <c r="C99" s="235"/>
      <c r="D99" s="236"/>
      <c r="E99" s="237"/>
      <c r="F99" s="237"/>
      <c r="G99" s="338"/>
      <c r="H99" s="142"/>
    </row>
    <row r="100" spans="1:8" s="8" customFormat="1" ht="15" customHeight="1">
      <c r="A100" s="233"/>
      <c r="B100" s="357" t="s">
        <v>68</v>
      </c>
      <c r="C100" s="235" t="s">
        <v>69</v>
      </c>
      <c r="D100" s="236"/>
      <c r="E100" s="237"/>
      <c r="F100" s="237"/>
      <c r="G100" s="338"/>
      <c r="H100" s="142"/>
    </row>
    <row r="101" spans="1:8" s="8" customFormat="1" ht="15" hidden="1" customHeight="1">
      <c r="A101" s="858"/>
      <c r="B101" s="853"/>
      <c r="C101" s="852"/>
      <c r="D101" s="854"/>
      <c r="E101" s="855"/>
      <c r="F101" s="855"/>
      <c r="G101" s="338"/>
      <c r="H101" s="142"/>
    </row>
    <row r="102" spans="1:8" s="8" customFormat="1" ht="15" hidden="1" customHeight="1">
      <c r="A102" s="858"/>
      <c r="B102" s="853"/>
      <c r="C102" s="852"/>
      <c r="D102" s="854"/>
      <c r="E102" s="855"/>
      <c r="F102" s="855"/>
      <c r="G102" s="338"/>
      <c r="H102" s="142"/>
    </row>
    <row r="103" spans="1:8" s="8" customFormat="1" ht="15" hidden="1" customHeight="1">
      <c r="A103" s="858"/>
      <c r="B103" s="853"/>
      <c r="C103" s="852"/>
      <c r="D103" s="854"/>
      <c r="E103" s="855"/>
      <c r="F103" s="855"/>
      <c r="G103" s="338"/>
      <c r="H103" s="142"/>
    </row>
    <row r="104" spans="1:8" s="8" customFormat="1" ht="15" hidden="1" customHeight="1">
      <c r="A104" s="858"/>
      <c r="B104" s="853"/>
      <c r="C104" s="852"/>
      <c r="D104" s="854"/>
      <c r="E104" s="855"/>
      <c r="F104" s="855"/>
      <c r="G104" s="338"/>
      <c r="H104" s="142"/>
    </row>
    <row r="105" spans="1:8" s="8" customFormat="1" ht="15" hidden="1" customHeight="1">
      <c r="A105" s="858"/>
      <c r="B105" s="853"/>
      <c r="C105" s="852"/>
      <c r="D105" s="854"/>
      <c r="E105" s="855"/>
      <c r="F105" s="855"/>
      <c r="G105" s="338"/>
      <c r="H105" s="142"/>
    </row>
    <row r="106" spans="1:8" s="8" customFormat="1" ht="14.25" hidden="1" customHeight="1">
      <c r="A106" s="857"/>
      <c r="B106" s="851"/>
      <c r="C106" s="847"/>
      <c r="D106" s="848"/>
      <c r="E106" s="1170"/>
      <c r="F106" s="849"/>
      <c r="G106" s="338"/>
      <c r="H106" s="142"/>
    </row>
    <row r="107" spans="1:8" s="8" customFormat="1" ht="14.25" hidden="1" customHeight="1">
      <c r="A107" s="857"/>
      <c r="B107" s="851"/>
      <c r="C107" s="847"/>
      <c r="D107" s="848"/>
      <c r="E107" s="1170"/>
      <c r="F107" s="849"/>
      <c r="G107" s="338"/>
      <c r="H107" s="142"/>
    </row>
    <row r="108" spans="1:8" s="8" customFormat="1" ht="14.25" hidden="1" customHeight="1">
      <c r="A108" s="857"/>
      <c r="B108" s="851"/>
      <c r="C108" s="847"/>
      <c r="D108" s="848"/>
      <c r="E108" s="1170"/>
      <c r="F108" s="849"/>
      <c r="G108" s="338"/>
      <c r="H108" s="142"/>
    </row>
    <row r="109" spans="1:8" s="8" customFormat="1" ht="14.25" hidden="1" customHeight="1">
      <c r="A109" s="857"/>
      <c r="B109" s="851"/>
      <c r="C109" s="847"/>
      <c r="D109" s="848"/>
      <c r="E109" s="1170"/>
      <c r="F109" s="849"/>
      <c r="G109" s="338"/>
      <c r="H109" s="142"/>
    </row>
    <row r="110" spans="1:8" s="8" customFormat="1" ht="14.25" hidden="1" customHeight="1">
      <c r="A110" s="857"/>
      <c r="B110" s="851"/>
      <c r="C110" s="847"/>
      <c r="D110" s="848"/>
      <c r="E110" s="1170"/>
      <c r="F110" s="849"/>
      <c r="G110" s="338"/>
      <c r="H110" s="142"/>
    </row>
    <row r="111" spans="1:8" s="8" customFormat="1" ht="16.899999999999999" customHeight="1">
      <c r="A111" s="233"/>
      <c r="B111" s="351" t="s">
        <v>70</v>
      </c>
      <c r="C111" s="235"/>
      <c r="D111" s="236"/>
      <c r="E111" s="237"/>
      <c r="F111" s="237"/>
      <c r="G111" s="338"/>
      <c r="H111" s="142"/>
    </row>
    <row r="112" spans="1:8" s="8" customFormat="1" ht="18.75" customHeight="1">
      <c r="A112" s="233"/>
      <c r="B112" s="336" t="s">
        <v>895</v>
      </c>
      <c r="C112" s="235" t="s">
        <v>71</v>
      </c>
      <c r="D112" s="236"/>
      <c r="E112" s="237"/>
      <c r="F112" s="237"/>
      <c r="G112" s="338"/>
      <c r="H112" s="142"/>
    </row>
    <row r="113" spans="1:8" s="8" customFormat="1" ht="20.100000000000001" customHeight="1">
      <c r="A113" s="233"/>
      <c r="B113" s="363" t="s">
        <v>896</v>
      </c>
      <c r="C113" s="235" t="s">
        <v>72</v>
      </c>
      <c r="D113" s="236"/>
      <c r="E113" s="237"/>
      <c r="F113" s="237"/>
      <c r="G113" s="338"/>
      <c r="H113" s="142"/>
    </row>
    <row r="114" spans="1:8" s="8" customFormat="1" ht="20.100000000000001" customHeight="1">
      <c r="A114" s="233"/>
      <c r="B114" s="363" t="s">
        <v>897</v>
      </c>
      <c r="C114" s="235" t="s">
        <v>73</v>
      </c>
      <c r="D114" s="236"/>
      <c r="E114" s="237"/>
      <c r="F114" s="237"/>
      <c r="G114" s="338"/>
      <c r="H114" s="142"/>
    </row>
    <row r="115" spans="1:8" s="8" customFormat="1" ht="18.75" customHeight="1">
      <c r="A115" s="233"/>
      <c r="B115" s="336" t="s">
        <v>74</v>
      </c>
      <c r="C115" s="235" t="s">
        <v>75</v>
      </c>
      <c r="D115" s="236"/>
      <c r="E115" s="237"/>
      <c r="F115" s="237"/>
      <c r="G115" s="338"/>
      <c r="H115" s="142"/>
    </row>
    <row r="116" spans="1:8" s="8" customFormat="1" ht="18.75" customHeight="1">
      <c r="A116" s="233"/>
      <c r="B116" s="336" t="s">
        <v>131</v>
      </c>
      <c r="C116" s="235" t="s">
        <v>76</v>
      </c>
      <c r="D116" s="236"/>
      <c r="E116" s="237"/>
      <c r="F116" s="237"/>
      <c r="G116" s="338"/>
      <c r="H116" s="142"/>
    </row>
    <row r="117" spans="1:8" s="8" customFormat="1" ht="18.75" customHeight="1">
      <c r="A117" s="233"/>
      <c r="B117" s="336" t="s">
        <v>898</v>
      </c>
      <c r="C117" s="235" t="s">
        <v>77</v>
      </c>
      <c r="D117" s="236"/>
      <c r="E117" s="237"/>
      <c r="F117" s="237"/>
      <c r="G117" s="338"/>
      <c r="H117" s="142"/>
    </row>
    <row r="118" spans="1:8" s="8" customFormat="1" ht="20.100000000000001" customHeight="1">
      <c r="A118" s="233"/>
      <c r="B118" s="363" t="s">
        <v>899</v>
      </c>
      <c r="C118" s="235" t="s">
        <v>78</v>
      </c>
      <c r="D118" s="236"/>
      <c r="E118" s="237"/>
      <c r="F118" s="237"/>
      <c r="G118" s="338"/>
      <c r="H118" s="142"/>
    </row>
    <row r="119" spans="1:8" s="8" customFormat="1" ht="20.100000000000001" hidden="1" customHeight="1">
      <c r="A119" s="233"/>
      <c r="B119" s="363"/>
      <c r="C119" s="235"/>
      <c r="D119" s="236"/>
      <c r="E119" s="237"/>
      <c r="F119" s="237"/>
      <c r="G119" s="338"/>
      <c r="H119" s="142"/>
    </row>
    <row r="120" spans="1:8" s="8" customFormat="1" ht="20.100000000000001" hidden="1" customHeight="1">
      <c r="A120" s="233"/>
      <c r="B120" s="363"/>
      <c r="C120" s="235"/>
      <c r="D120" s="236"/>
      <c r="E120" s="237"/>
      <c r="F120" s="237"/>
      <c r="G120" s="338"/>
      <c r="H120" s="142"/>
    </row>
    <row r="121" spans="1:8" s="8" customFormat="1" ht="20.100000000000001" customHeight="1">
      <c r="A121" s="233"/>
      <c r="B121" s="363" t="s">
        <v>900</v>
      </c>
      <c r="C121" s="235" t="s">
        <v>790</v>
      </c>
      <c r="D121" s="236"/>
      <c r="E121" s="237"/>
      <c r="F121" s="237"/>
      <c r="G121" s="338"/>
      <c r="H121" s="142"/>
    </row>
    <row r="122" spans="1:8" s="8" customFormat="1" ht="16.5" customHeight="1">
      <c r="A122" s="233"/>
      <c r="B122" s="357" t="s">
        <v>79</v>
      </c>
      <c r="C122" s="235" t="s">
        <v>80</v>
      </c>
      <c r="D122" s="236"/>
      <c r="E122" s="237"/>
      <c r="F122" s="237"/>
      <c r="G122" s="338"/>
      <c r="H122" s="142"/>
    </row>
    <row r="123" spans="1:8" s="8" customFormat="1" ht="16.5" hidden="1" customHeight="1">
      <c r="A123" s="858"/>
      <c r="B123" s="853"/>
      <c r="C123" s="852"/>
      <c r="D123" s="854"/>
      <c r="E123" s="855"/>
      <c r="F123" s="855"/>
      <c r="G123" s="338"/>
      <c r="H123" s="142"/>
    </row>
    <row r="124" spans="1:8" s="8" customFormat="1" ht="16.5" hidden="1" customHeight="1">
      <c r="A124" s="858"/>
      <c r="B124" s="853"/>
      <c r="C124" s="852"/>
      <c r="D124" s="854"/>
      <c r="E124" s="855"/>
      <c r="F124" s="855"/>
      <c r="G124" s="338"/>
      <c r="H124" s="142"/>
    </row>
    <row r="125" spans="1:8" s="8" customFormat="1" ht="16.5" hidden="1" customHeight="1">
      <c r="A125" s="858"/>
      <c r="B125" s="853"/>
      <c r="C125" s="852"/>
      <c r="D125" s="854"/>
      <c r="E125" s="855"/>
      <c r="F125" s="855"/>
      <c r="G125" s="338"/>
      <c r="H125" s="142"/>
    </row>
    <row r="126" spans="1:8" s="8" customFormat="1" ht="15" hidden="1" customHeight="1">
      <c r="A126" s="858"/>
      <c r="B126" s="853"/>
      <c r="C126" s="852"/>
      <c r="D126" s="854"/>
      <c r="E126" s="855"/>
      <c r="F126" s="855"/>
      <c r="G126" s="338"/>
      <c r="H126" s="142"/>
    </row>
    <row r="127" spans="1:8" s="8" customFormat="1" ht="15" hidden="1" customHeight="1">
      <c r="A127" s="858"/>
      <c r="B127" s="853"/>
      <c r="C127" s="852"/>
      <c r="D127" s="854"/>
      <c r="E127" s="855"/>
      <c r="F127" s="855"/>
      <c r="G127" s="338"/>
      <c r="H127" s="142"/>
    </row>
    <row r="128" spans="1:8" s="8" customFormat="1" ht="15" hidden="1" customHeight="1">
      <c r="A128" s="858"/>
      <c r="B128" s="853"/>
      <c r="C128" s="852"/>
      <c r="D128" s="854"/>
      <c r="E128" s="855"/>
      <c r="F128" s="855"/>
      <c r="G128" s="338"/>
      <c r="H128" s="142"/>
    </row>
    <row r="129" spans="1:8" s="8" customFormat="1" ht="15" hidden="1" customHeight="1">
      <c r="A129" s="858"/>
      <c r="B129" s="853"/>
      <c r="C129" s="852"/>
      <c r="D129" s="854"/>
      <c r="E129" s="855"/>
      <c r="F129" s="855"/>
      <c r="G129" s="338"/>
      <c r="H129" s="142"/>
    </row>
    <row r="130" spans="1:8" s="8" customFormat="1" ht="7.9" hidden="1" customHeight="1">
      <c r="A130" s="858"/>
      <c r="B130" s="853"/>
      <c r="C130" s="852"/>
      <c r="D130" s="854"/>
      <c r="E130" s="855"/>
      <c r="F130" s="855"/>
      <c r="G130" s="338"/>
      <c r="H130" s="142"/>
    </row>
    <row r="131" spans="1:8" s="8" customFormat="1" ht="16.149999999999999" customHeight="1">
      <c r="A131" s="233"/>
      <c r="B131" s="351" t="s">
        <v>81</v>
      </c>
      <c r="C131" s="235"/>
      <c r="D131" s="236"/>
      <c r="E131" s="237"/>
      <c r="F131" s="237"/>
      <c r="G131" s="338"/>
      <c r="H131" s="142"/>
    </row>
    <row r="132" spans="1:8" s="8" customFormat="1" ht="18.75" customHeight="1">
      <c r="A132" s="233"/>
      <c r="B132" s="336" t="s">
        <v>895</v>
      </c>
      <c r="C132" s="235" t="s">
        <v>82</v>
      </c>
      <c r="D132" s="236"/>
      <c r="E132" s="237"/>
      <c r="F132" s="237"/>
      <c r="G132" s="338"/>
      <c r="H132" s="142"/>
    </row>
    <row r="133" spans="1:8" s="8" customFormat="1" ht="20.100000000000001" customHeight="1">
      <c r="A133" s="233"/>
      <c r="B133" s="363" t="s">
        <v>901</v>
      </c>
      <c r="C133" s="235" t="s">
        <v>83</v>
      </c>
      <c r="D133" s="236"/>
      <c r="E133" s="237"/>
      <c r="F133" s="237"/>
      <c r="G133" s="338"/>
      <c r="H133" s="142"/>
    </row>
    <row r="134" spans="1:8" s="8" customFormat="1" ht="20.100000000000001" customHeight="1">
      <c r="A134" s="233"/>
      <c r="B134" s="363" t="s">
        <v>902</v>
      </c>
      <c r="C134" s="235" t="s">
        <v>84</v>
      </c>
      <c r="D134" s="236"/>
      <c r="E134" s="542"/>
      <c r="F134" s="237"/>
      <c r="G134" s="338"/>
      <c r="H134" s="142"/>
    </row>
    <row r="135" spans="1:8" s="8" customFormat="1" ht="20.100000000000001" customHeight="1">
      <c r="A135" s="233"/>
      <c r="B135" s="363" t="s">
        <v>85</v>
      </c>
      <c r="C135" s="235" t="s">
        <v>86</v>
      </c>
      <c r="D135" s="236"/>
      <c r="E135" s="1165"/>
      <c r="F135" s="237"/>
      <c r="G135" s="338"/>
      <c r="H135" s="142"/>
    </row>
    <row r="136" spans="1:8" s="8" customFormat="1" ht="18.75" customHeight="1">
      <c r="A136" s="233"/>
      <c r="B136" s="336" t="s">
        <v>903</v>
      </c>
      <c r="C136" s="235" t="s">
        <v>87</v>
      </c>
      <c r="D136" s="236"/>
      <c r="E136" s="1165"/>
      <c r="F136" s="237"/>
      <c r="G136" s="338"/>
      <c r="H136" s="142"/>
    </row>
    <row r="137" spans="1:8" s="8" customFormat="1" ht="20.100000000000001" customHeight="1">
      <c r="A137" s="233"/>
      <c r="B137" s="363" t="s">
        <v>10</v>
      </c>
      <c r="C137" s="235" t="s">
        <v>88</v>
      </c>
      <c r="D137" s="236"/>
      <c r="E137" s="1165"/>
      <c r="F137" s="237"/>
      <c r="G137" s="338"/>
      <c r="H137" s="142"/>
    </row>
    <row r="138" spans="1:8" s="8" customFormat="1" ht="20.100000000000001" customHeight="1">
      <c r="A138" s="233"/>
      <c r="B138" s="363" t="s">
        <v>1153</v>
      </c>
      <c r="C138" s="235" t="s">
        <v>89</v>
      </c>
      <c r="D138" s="236"/>
      <c r="E138" s="1165"/>
      <c r="F138" s="237"/>
      <c r="G138" s="338"/>
      <c r="H138" s="142"/>
    </row>
    <row r="139" spans="1:8" s="8" customFormat="1" ht="20.100000000000001" customHeight="1">
      <c r="A139" s="233"/>
      <c r="B139" s="363" t="s">
        <v>1154</v>
      </c>
      <c r="C139" s="235" t="s">
        <v>90</v>
      </c>
      <c r="D139" s="236"/>
      <c r="E139" s="1165"/>
      <c r="F139" s="237"/>
      <c r="G139" s="338"/>
      <c r="H139" s="142"/>
    </row>
    <row r="140" spans="1:8" s="8" customFormat="1" ht="20.100000000000001" customHeight="1">
      <c r="A140" s="233"/>
      <c r="B140" s="363" t="s">
        <v>91</v>
      </c>
      <c r="C140" s="235" t="s">
        <v>92</v>
      </c>
      <c r="D140" s="236"/>
      <c r="E140" s="1165"/>
      <c r="F140" s="237"/>
      <c r="G140" s="338"/>
      <c r="H140" s="142"/>
    </row>
    <row r="141" spans="1:8" s="8" customFormat="1" ht="20.100000000000001" hidden="1" customHeight="1">
      <c r="A141" s="233"/>
      <c r="B141" s="363"/>
      <c r="C141" s="235"/>
      <c r="D141" s="236"/>
      <c r="E141" s="1165"/>
      <c r="F141" s="237"/>
      <c r="G141" s="338"/>
      <c r="H141" s="142"/>
    </row>
    <row r="142" spans="1:8" s="8" customFormat="1" ht="20.100000000000001" hidden="1" customHeight="1">
      <c r="A142" s="233"/>
      <c r="B142" s="363"/>
      <c r="C142" s="235"/>
      <c r="D142" s="236"/>
      <c r="E142" s="1165"/>
      <c r="F142" s="237"/>
      <c r="G142" s="338"/>
      <c r="H142" s="142"/>
    </row>
    <row r="143" spans="1:8" s="8" customFormat="1" ht="20.100000000000001" customHeight="1">
      <c r="A143" s="233"/>
      <c r="B143" s="363" t="s">
        <v>11</v>
      </c>
      <c r="C143" s="235" t="s">
        <v>93</v>
      </c>
      <c r="D143" s="236"/>
      <c r="E143" s="1165"/>
      <c r="F143" s="237"/>
      <c r="G143" s="338"/>
      <c r="H143" s="142"/>
    </row>
    <row r="144" spans="1:8" s="8" customFormat="1" ht="20.100000000000001" customHeight="1">
      <c r="A144" s="233"/>
      <c r="B144" s="363" t="s">
        <v>1163</v>
      </c>
      <c r="C144" s="235" t="s">
        <v>94</v>
      </c>
      <c r="D144" s="236"/>
      <c r="E144" s="1165"/>
      <c r="F144" s="237"/>
      <c r="G144" s="338"/>
      <c r="H144" s="142"/>
    </row>
    <row r="145" spans="1:8" s="8" customFormat="1" ht="20.100000000000001" customHeight="1">
      <c r="A145" s="233"/>
      <c r="B145" s="363" t="s">
        <v>904</v>
      </c>
      <c r="C145" s="235" t="s">
        <v>95</v>
      </c>
      <c r="D145" s="236"/>
      <c r="E145" s="1165"/>
      <c r="F145" s="237"/>
      <c r="G145" s="338"/>
      <c r="H145" s="142"/>
    </row>
    <row r="146" spans="1:8" s="8" customFormat="1" ht="18.75" customHeight="1">
      <c r="A146" s="233"/>
      <c r="B146" s="336" t="s">
        <v>96</v>
      </c>
      <c r="C146" s="235" t="s">
        <v>97</v>
      </c>
      <c r="D146" s="236"/>
      <c r="E146" s="1165"/>
      <c r="F146" s="237"/>
      <c r="G146" s="338"/>
      <c r="H146" s="142"/>
    </row>
    <row r="147" spans="1:8" s="8" customFormat="1" ht="18.75" customHeight="1">
      <c r="A147" s="233"/>
      <c r="B147" s="336" t="s">
        <v>131</v>
      </c>
      <c r="C147" s="235" t="s">
        <v>98</v>
      </c>
      <c r="D147" s="236"/>
      <c r="E147" s="1165"/>
      <c r="F147" s="237"/>
      <c r="G147" s="338"/>
      <c r="H147" s="142"/>
    </row>
    <row r="148" spans="1:8" s="8" customFormat="1" ht="18.75" customHeight="1">
      <c r="A148" s="233"/>
      <c r="B148" s="336" t="s">
        <v>905</v>
      </c>
      <c r="C148" s="235" t="s">
        <v>99</v>
      </c>
      <c r="D148" s="236"/>
      <c r="E148" s="1165"/>
      <c r="F148" s="237"/>
      <c r="G148" s="338"/>
      <c r="H148" s="142"/>
    </row>
    <row r="149" spans="1:8" s="8" customFormat="1" ht="20.100000000000001" customHeight="1">
      <c r="A149" s="233"/>
      <c r="B149" s="363" t="s">
        <v>900</v>
      </c>
      <c r="C149" s="235" t="s">
        <v>791</v>
      </c>
      <c r="D149" s="236"/>
      <c r="E149" s="1165"/>
      <c r="F149" s="237"/>
      <c r="G149" s="338"/>
      <c r="H149" s="142"/>
    </row>
    <row r="150" spans="1:8" s="8" customFormat="1" ht="13.5" customHeight="1">
      <c r="A150" s="233"/>
      <c r="B150" s="357" t="s">
        <v>100</v>
      </c>
      <c r="C150" s="235" t="s">
        <v>101</v>
      </c>
      <c r="D150" s="236"/>
      <c r="E150" s="1165"/>
      <c r="F150" s="237"/>
      <c r="G150" s="338"/>
      <c r="H150" s="142"/>
    </row>
    <row r="151" spans="1:8" s="8" customFormat="1" ht="18.600000000000001" customHeight="1">
      <c r="A151" s="352"/>
      <c r="B151" s="353" t="s">
        <v>1161</v>
      </c>
      <c r="C151" s="354" t="s">
        <v>102</v>
      </c>
      <c r="D151" s="358"/>
      <c r="E151" s="1171"/>
      <c r="F151" s="359"/>
      <c r="G151" s="338"/>
      <c r="H151" s="142"/>
    </row>
    <row r="152" spans="1:8" ht="36.75" hidden="1" customHeight="1">
      <c r="A152" s="340"/>
      <c r="B152" s="360" t="s">
        <v>103</v>
      </c>
      <c r="C152" s="361"/>
      <c r="D152" s="343"/>
      <c r="E152" s="343"/>
      <c r="F152" s="337"/>
    </row>
    <row r="153" spans="1:8" hidden="1">
      <c r="A153" s="340"/>
      <c r="B153" s="335" t="s">
        <v>104</v>
      </c>
      <c r="C153" s="361"/>
      <c r="D153" s="343"/>
      <c r="E153" s="343"/>
      <c r="F153" s="337"/>
    </row>
    <row r="154" spans="1:8" ht="15" hidden="1" customHeight="1">
      <c r="A154" s="340"/>
      <c r="B154" s="335">
        <v>1</v>
      </c>
      <c r="C154" s="361"/>
      <c r="D154" s="343"/>
      <c r="E154" s="343"/>
      <c r="F154" s="337"/>
    </row>
    <row r="155" spans="1:8" ht="15" hidden="1" customHeight="1">
      <c r="A155" s="340"/>
      <c r="B155" s="332" t="s">
        <v>105</v>
      </c>
      <c r="C155" s="361"/>
      <c r="D155" s="343"/>
      <c r="E155" s="343"/>
      <c r="F155" s="337"/>
    </row>
    <row r="156" spans="1:8" ht="15" hidden="1" customHeight="1">
      <c r="A156" s="340"/>
      <c r="B156" s="332" t="s">
        <v>106</v>
      </c>
      <c r="C156" s="361"/>
      <c r="D156" s="343"/>
      <c r="E156" s="343"/>
      <c r="F156" s="337"/>
    </row>
    <row r="157" spans="1:8" ht="21.75" hidden="1" customHeight="1">
      <c r="A157" s="340"/>
      <c r="B157" s="332" t="s">
        <v>107</v>
      </c>
      <c r="C157" s="361"/>
      <c r="D157" s="343"/>
      <c r="E157" s="343"/>
      <c r="F157" s="337"/>
    </row>
    <row r="158" spans="1:8" hidden="1">
      <c r="A158" s="340"/>
      <c r="B158" s="332" t="s">
        <v>108</v>
      </c>
      <c r="C158" s="361"/>
      <c r="D158" s="343"/>
      <c r="E158" s="343"/>
      <c r="F158" s="337"/>
    </row>
    <row r="159" spans="1:8" ht="15" hidden="1" customHeight="1">
      <c r="A159" s="340"/>
      <c r="B159" s="332" t="s">
        <v>109</v>
      </c>
      <c r="C159" s="361"/>
      <c r="D159" s="343"/>
      <c r="E159" s="343"/>
      <c r="F159" s="337"/>
    </row>
    <row r="160" spans="1:8" ht="15" hidden="1" customHeight="1">
      <c r="A160" s="340"/>
      <c r="B160" s="332" t="s">
        <v>110</v>
      </c>
      <c r="C160" s="361"/>
      <c r="D160" s="343"/>
      <c r="E160" s="343"/>
      <c r="F160" s="337"/>
    </row>
    <row r="161" spans="1:7" ht="15" hidden="1" customHeight="1">
      <c r="A161" s="340"/>
      <c r="B161" s="332" t="s">
        <v>111</v>
      </c>
      <c r="C161" s="361"/>
      <c r="D161" s="343"/>
      <c r="E161" s="343"/>
      <c r="F161" s="337"/>
    </row>
    <row r="162" spans="1:7" hidden="1">
      <c r="A162" s="340"/>
      <c r="B162" s="332" t="s">
        <v>112</v>
      </c>
      <c r="C162" s="361"/>
      <c r="D162" s="343"/>
      <c r="E162" s="343"/>
      <c r="F162" s="337"/>
    </row>
    <row r="163" spans="1:7" ht="21" hidden="1">
      <c r="A163" s="340"/>
      <c r="B163" s="332" t="s">
        <v>113</v>
      </c>
      <c r="C163" s="361"/>
      <c r="D163" s="343"/>
      <c r="E163" s="343"/>
      <c r="F163" s="337"/>
    </row>
    <row r="164" spans="1:7" ht="15" hidden="1" customHeight="1">
      <c r="A164" s="340"/>
      <c r="B164" s="332" t="s">
        <v>114</v>
      </c>
      <c r="C164" s="361"/>
      <c r="D164" s="343"/>
      <c r="E164" s="343"/>
      <c r="F164" s="337"/>
    </row>
    <row r="165" spans="1:7" ht="15" hidden="1" customHeight="1">
      <c r="A165" s="340"/>
      <c r="B165" s="332" t="s">
        <v>115</v>
      </c>
      <c r="C165" s="361"/>
      <c r="D165" s="343"/>
      <c r="E165" s="343"/>
      <c r="F165" s="337"/>
    </row>
    <row r="166" spans="1:7" ht="15" hidden="1" customHeight="1">
      <c r="A166" s="340"/>
      <c r="B166" s="332" t="s">
        <v>116</v>
      </c>
      <c r="C166" s="361"/>
      <c r="D166" s="343"/>
      <c r="E166" s="343"/>
      <c r="F166" s="337"/>
    </row>
    <row r="167" spans="1:7" hidden="1">
      <c r="A167" s="340"/>
      <c r="B167" s="332" t="s">
        <v>117</v>
      </c>
      <c r="C167" s="361"/>
      <c r="D167" s="343"/>
      <c r="E167" s="343"/>
      <c r="F167" s="337"/>
    </row>
    <row r="168" spans="1:7" ht="15" hidden="1" customHeight="1">
      <c r="A168" s="340"/>
      <c r="B168" s="332" t="s">
        <v>118</v>
      </c>
      <c r="C168" s="361"/>
      <c r="D168" s="343"/>
      <c r="E168" s="343"/>
      <c r="F168" s="337"/>
    </row>
    <row r="169" spans="1:7" ht="20.25" hidden="1" customHeight="1">
      <c r="A169" s="340"/>
      <c r="B169" s="332" t="s">
        <v>119</v>
      </c>
      <c r="C169" s="361"/>
      <c r="D169" s="343"/>
      <c r="E169" s="343"/>
      <c r="F169" s="337"/>
    </row>
    <row r="170" spans="1:7" ht="12.6" hidden="1" customHeight="1">
      <c r="A170" s="340"/>
      <c r="B170" s="332"/>
      <c r="C170" s="361"/>
      <c r="D170" s="343"/>
      <c r="E170" s="343"/>
      <c r="F170" s="337"/>
    </row>
    <row r="171" spans="1:7" s="389" customFormat="1">
      <c r="A171" s="385"/>
      <c r="B171" s="386"/>
      <c r="C171" s="387"/>
      <c r="D171" s="386"/>
      <c r="E171" s="386"/>
      <c r="F171" s="386"/>
      <c r="G171" s="388"/>
    </row>
    <row r="172" spans="1:7" s="394" customFormat="1" ht="12.75">
      <c r="A172" s="390"/>
      <c r="B172" s="384" t="str">
        <f>'Общие сведения'!B34</f>
        <v>Наим. должности (Генеральный директор, Руководитель, ... )</v>
      </c>
      <c r="C172" s="392"/>
      <c r="D172" s="386"/>
      <c r="E172" s="386"/>
      <c r="F172" s="386"/>
      <c r="G172" s="393"/>
    </row>
    <row r="173" spans="1:7" s="394" customFormat="1" ht="12.75">
      <c r="A173" s="390"/>
      <c r="B173" s="411" t="s">
        <v>956</v>
      </c>
      <c r="C173" s="392"/>
      <c r="D173" s="386"/>
      <c r="E173" s="386"/>
      <c r="F173" s="386"/>
      <c r="G173" s="393"/>
    </row>
    <row r="174" spans="1:7" s="394" customFormat="1" ht="12.75">
      <c r="A174" s="390"/>
      <c r="B174" s="413"/>
      <c r="C174" s="392"/>
      <c r="D174" s="386"/>
      <c r="E174" s="386"/>
      <c r="F174" s="386"/>
      <c r="G174" s="393"/>
    </row>
    <row r="175" spans="1:7" s="400" customFormat="1" ht="11.25" customHeight="1">
      <c r="A175" s="395"/>
      <c r="B175" s="396"/>
      <c r="C175" s="397"/>
      <c r="D175" s="398"/>
      <c r="E175" s="398"/>
      <c r="F175" s="398"/>
      <c r="G175" s="399"/>
    </row>
    <row r="176" spans="1:7" s="400" customFormat="1" ht="11.25" customHeight="1">
      <c r="A176" s="395"/>
      <c r="B176" s="391"/>
      <c r="C176" s="397"/>
      <c r="D176" s="900">
        <f>'Общие сведения'!D34</f>
        <v>0</v>
      </c>
      <c r="E176" s="900"/>
      <c r="F176" s="900"/>
      <c r="G176" s="399"/>
    </row>
    <row r="177" spans="1:7" s="400" customFormat="1" ht="11.25" customHeight="1">
      <c r="A177" s="395"/>
      <c r="B177" s="412" t="s">
        <v>957</v>
      </c>
      <c r="C177" s="397"/>
      <c r="D177" s="899" t="s">
        <v>958</v>
      </c>
      <c r="E177" s="899"/>
      <c r="F177" s="899"/>
      <c r="G177" s="399"/>
    </row>
    <row r="178" spans="1:7" s="400" customFormat="1" ht="11.25" customHeight="1">
      <c r="A178" s="395"/>
      <c r="B178" s="396"/>
      <c r="C178" s="397"/>
      <c r="D178" s="398"/>
      <c r="E178" s="398"/>
      <c r="F178" s="398"/>
      <c r="G178" s="399"/>
    </row>
    <row r="179" spans="1:7" s="406" customFormat="1" ht="15" customHeight="1">
      <c r="A179" s="401"/>
      <c r="B179" s="402" t="s">
        <v>1140</v>
      </c>
      <c r="C179" s="403"/>
      <c r="D179" s="401"/>
      <c r="E179" s="404"/>
      <c r="F179" s="401"/>
      <c r="G179" s="405"/>
    </row>
    <row r="180" spans="1:7" s="400" customFormat="1" ht="11.45" hidden="1" customHeight="1">
      <c r="B180" s="389"/>
      <c r="C180" s="407"/>
      <c r="D180" s="408"/>
      <c r="E180" s="408"/>
      <c r="F180" s="409"/>
      <c r="G180" s="410"/>
    </row>
    <row r="181" spans="1:7" s="400" customFormat="1" ht="11.45" customHeight="1">
      <c r="C181" s="407"/>
      <c r="D181" s="408"/>
      <c r="E181" s="408"/>
      <c r="F181" s="409"/>
      <c r="G181" s="410"/>
    </row>
    <row r="182" spans="1:7" s="400" customFormat="1" ht="11.45" customHeight="1">
      <c r="C182" s="407"/>
      <c r="D182" s="408"/>
      <c r="E182" s="408"/>
      <c r="F182" s="409"/>
      <c r="G182" s="410"/>
    </row>
    <row r="183" spans="1:7" s="400" customFormat="1" ht="11.45" customHeight="1">
      <c r="C183" s="407"/>
      <c r="D183" s="408"/>
      <c r="E183" s="408"/>
      <c r="F183" s="409"/>
      <c r="G183" s="410"/>
    </row>
    <row r="184" spans="1:7" s="400" customFormat="1" ht="11.45" customHeight="1">
      <c r="C184" s="407"/>
      <c r="D184" s="408"/>
      <c r="E184" s="408"/>
      <c r="F184" s="409"/>
      <c r="G184" s="410"/>
    </row>
    <row r="185" spans="1:7" ht="11.45" customHeight="1"/>
    <row r="186" spans="1:7" ht="11.45" customHeight="1"/>
    <row r="187" spans="1:7" ht="11.45" customHeight="1"/>
    <row r="188" spans="1:7" ht="11.45" customHeight="1"/>
    <row r="189" spans="1:7" ht="11.45" customHeight="1"/>
    <row r="190" spans="1:7" ht="11.45" customHeight="1"/>
    <row r="191" spans="1:7" ht="11.45" customHeight="1"/>
    <row r="192" spans="1:7" ht="11.45" customHeight="1"/>
    <row r="193" ht="11.45" customHeight="1"/>
    <row r="194" ht="11.45" customHeight="1"/>
    <row r="195" ht="11.45" customHeight="1"/>
    <row r="196" ht="11.45" customHeight="1"/>
    <row r="197" ht="11.45" customHeight="1"/>
    <row r="198" ht="11.45" customHeight="1"/>
    <row r="199" ht="11.45" customHeight="1"/>
    <row r="200" ht="11.45" customHeight="1"/>
    <row r="201" ht="11.45" customHeight="1"/>
    <row r="202" ht="11.45" customHeight="1"/>
    <row r="203" ht="11.45" customHeight="1"/>
    <row r="204" ht="11.45" customHeight="1"/>
    <row r="205" ht="11.45" customHeight="1"/>
    <row r="206" ht="11.45" customHeight="1"/>
    <row r="207" ht="11.45" customHeight="1"/>
    <row r="208" ht="11.45" customHeight="1"/>
    <row r="209" ht="11.45" customHeight="1"/>
    <row r="210" ht="11.45" customHeight="1"/>
    <row r="211" ht="11.45" customHeight="1"/>
    <row r="212" ht="11.45" customHeight="1"/>
    <row r="213" ht="11.45" customHeight="1"/>
    <row r="214" ht="11.45" customHeight="1"/>
    <row r="215" ht="11.45" customHeight="1"/>
    <row r="216" ht="11.45" customHeight="1"/>
    <row r="217" ht="11.45" customHeight="1"/>
  </sheetData>
  <mergeCells count="14">
    <mergeCell ref="D177:F177"/>
    <mergeCell ref="D176:F176"/>
    <mergeCell ref="A9:B9"/>
    <mergeCell ref="A5:C5"/>
    <mergeCell ref="D46:E46"/>
    <mergeCell ref="A48:E48"/>
    <mergeCell ref="A19:E19"/>
    <mergeCell ref="A90:E90"/>
    <mergeCell ref="I4:M17"/>
    <mergeCell ref="D88:F88"/>
    <mergeCell ref="A1:E1"/>
    <mergeCell ref="A2:D2"/>
    <mergeCell ref="C3:D3"/>
    <mergeCell ref="B4:D4"/>
  </mergeCells>
  <dataValidations count="2">
    <dataValidation type="textLength" operator="equal" allowBlank="1" showInputMessage="1" showErrorMessage="1" error="Ячейки строки 1160 баланса закрыты для редактирования, т к не должны содержать сумм." sqref="D35:F35">
      <formula1>1</formula1>
    </dataValidation>
    <dataValidation type="textLength" errorStyle="warning" operator="lessThanOrEqual" allowBlank="1" showInputMessage="1" error="Длина текста в графе &quot;Номер пояснения&quot; должна быть не более 4 символов." sqref="A91:A105 A111:A151 A20:A44 A49:A77">
      <formula1>4</formula1>
    </dataValidation>
  </dataValidations>
  <printOptions horizontalCentered="1"/>
  <pageMargins left="0.51181102362204722" right="0.19685039370078741" top="0.39370078740157483" bottom="0.39370078740157483" header="0" footer="0"/>
  <pageSetup paperSize="9" scale="81" fitToHeight="2" orientation="portrait" r:id="rId1"/>
  <headerFooter alignWithMargins="0"/>
  <rowBreaks count="1" manualBreakCount="1">
    <brk id="87" max="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6" tint="0.59999389629810485"/>
  </sheetPr>
  <dimension ref="A1:H78"/>
  <sheetViews>
    <sheetView zoomScaleNormal="100" zoomScaleSheetLayoutView="100" workbookViewId="0">
      <selection activeCell="G75" sqref="G75"/>
    </sheetView>
  </sheetViews>
  <sheetFormatPr defaultColWidth="9.140625" defaultRowHeight="20.25" customHeight="1"/>
  <cols>
    <col min="1" max="1" width="6" style="17" customWidth="1"/>
    <col min="2" max="2" width="50.28515625" style="18" customWidth="1"/>
    <col min="3" max="3" width="9.42578125" style="19" bestFit="1" customWidth="1"/>
    <col min="4" max="4" width="14.7109375" style="17" customWidth="1"/>
    <col min="5" max="5" width="14.7109375" style="20" customWidth="1"/>
    <col min="6" max="6" width="5.140625" style="17" customWidth="1"/>
    <col min="7" max="16384" width="9.140625" style="17"/>
  </cols>
  <sheetData>
    <row r="1" spans="1:8" s="9" customFormat="1" ht="21.75" customHeight="1">
      <c r="A1" s="909" t="s">
        <v>141</v>
      </c>
      <c r="B1" s="909"/>
      <c r="C1" s="909"/>
      <c r="D1" s="909"/>
      <c r="E1" s="10"/>
    </row>
    <row r="2" spans="1:8" s="9" customFormat="1" ht="12.75" customHeight="1">
      <c r="A2" s="912" t="str">
        <f>"за " &amp; IF(MONTH('Общие сведения'!D2)=3, "январь - март " &amp; YEAR('Общие сведения'!D2) &amp; " года", IF(MONTH('Общие сведения'!D2)=6, "январь - июнь " &amp; YEAR('Общие сведения'!D2) &amp; " года", IF(MONTH('Общие сведения'!D2)=9, "январь - сентябрь " &amp; YEAR('Общие сведения'!D2) &amp; " года", YEAR('Общие сведения'!D2) &amp; " год")))</f>
        <v>за январь - март 2026 года</v>
      </c>
      <c r="B2" s="912"/>
      <c r="C2" s="912"/>
      <c r="D2" s="912"/>
      <c r="E2" s="10"/>
    </row>
    <row r="3" spans="1:8" ht="5.25" customHeight="1">
      <c r="A3" s="910"/>
      <c r="B3" s="910"/>
      <c r="C3" s="910"/>
      <c r="D3" s="910"/>
      <c r="E3" s="17"/>
    </row>
    <row r="4" spans="1:8" ht="15" customHeight="1">
      <c r="E4" s="4" t="s">
        <v>12</v>
      </c>
      <c r="H4" s="80" t="s">
        <v>184</v>
      </c>
    </row>
    <row r="5" spans="1:8" s="1" customFormat="1" ht="16.5" customHeight="1">
      <c r="B5" s="3"/>
      <c r="C5" s="905" t="s">
        <v>907</v>
      </c>
      <c r="D5" s="906"/>
      <c r="E5" s="5" t="s">
        <v>120</v>
      </c>
    </row>
    <row r="6" spans="1:8" s="1" customFormat="1" ht="16.5" customHeight="1">
      <c r="B6" s="905" t="s">
        <v>908</v>
      </c>
      <c r="C6" s="905"/>
      <c r="D6" s="906"/>
      <c r="E6" s="473" t="str">
        <f>" " &amp; 'Общие сведения'!D16</f>
        <v xml:space="preserve"> 31 / 03 / 2026</v>
      </c>
    </row>
    <row r="7" spans="1:8" s="1" customFormat="1" ht="16.5" customHeight="1">
      <c r="A7" s="911" t="str">
        <f>" Организация " &amp; 'Общие сведения'!D18</f>
        <v xml:space="preserve"> Организация </v>
      </c>
      <c r="B7" s="911"/>
      <c r="C7" s="911"/>
      <c r="D7" s="331" t="s">
        <v>146</v>
      </c>
      <c r="E7" s="54" t="str">
        <f>" " &amp; 'Общие сведения'!D19</f>
        <v xml:space="preserve"> </v>
      </c>
    </row>
    <row r="8" spans="1:8" s="1" customFormat="1" ht="16.5" hidden="1" customHeight="1">
      <c r="A8" s="370"/>
      <c r="B8" s="370"/>
      <c r="C8" s="371"/>
    </row>
    <row r="9" spans="1:8" s="1" customFormat="1" ht="22.5" hidden="1" customHeight="1">
      <c r="A9" s="370"/>
      <c r="B9" s="370"/>
      <c r="C9" s="370"/>
    </row>
    <row r="10" spans="1:8" s="1" customFormat="1" ht="12" hidden="1" customHeight="1">
      <c r="A10" s="370"/>
      <c r="B10" s="370"/>
      <c r="C10" s="371"/>
    </row>
    <row r="11" spans="1:8" s="1" customFormat="1" ht="16.5" customHeight="1">
      <c r="A11" s="911" t="s">
        <v>145</v>
      </c>
      <c r="B11" s="911"/>
      <c r="C11" s="2"/>
      <c r="D11" s="331" t="s">
        <v>147</v>
      </c>
      <c r="E11" s="57" t="str">
        <f>" " &amp; 'Общие сведения'!D15</f>
        <v xml:space="preserve"> 384</v>
      </c>
    </row>
    <row r="12" spans="1:8" ht="24" customHeight="1">
      <c r="D12" s="22"/>
    </row>
    <row r="13" spans="1:8" s="21" customFormat="1" ht="33.75" customHeight="1">
      <c r="A13" s="11" t="s">
        <v>16</v>
      </c>
      <c r="B13" s="12" t="s">
        <v>0</v>
      </c>
      <c r="C13" s="6" t="s">
        <v>871</v>
      </c>
      <c r="D13" s="12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E13" s="44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</row>
    <row r="14" spans="1:8" s="1" customFormat="1" ht="16.5" hidden="1" customHeight="1">
      <c r="A14" s="372"/>
      <c r="B14" s="695" t="s">
        <v>1121</v>
      </c>
      <c r="C14" s="364"/>
      <c r="D14" s="694" t="s">
        <v>1122</v>
      </c>
      <c r="E14" s="694" t="s">
        <v>1123</v>
      </c>
    </row>
    <row r="15" spans="1:8" ht="20.25" customHeight="1">
      <c r="A15" s="24"/>
      <c r="B15" s="25" t="s">
        <v>788</v>
      </c>
      <c r="C15" s="26" t="s">
        <v>921</v>
      </c>
      <c r="D15" s="33"/>
      <c r="E15" s="34"/>
    </row>
    <row r="16" spans="1:8" ht="20.25" customHeight="1">
      <c r="A16" s="13"/>
      <c r="B16" s="14"/>
      <c r="C16" s="7" t="s">
        <v>922</v>
      </c>
      <c r="D16" s="29"/>
      <c r="E16" s="30"/>
    </row>
    <row r="17" spans="1:5" ht="20.25" customHeight="1">
      <c r="A17" s="13"/>
      <c r="B17" s="14"/>
      <c r="C17" s="7" t="s">
        <v>923</v>
      </c>
      <c r="D17" s="29"/>
      <c r="E17" s="30"/>
    </row>
    <row r="18" spans="1:5" ht="20.25" customHeight="1">
      <c r="A18" s="13"/>
      <c r="B18" s="14"/>
      <c r="C18" s="7" t="s">
        <v>924</v>
      </c>
      <c r="D18" s="29"/>
      <c r="E18" s="30"/>
    </row>
    <row r="19" spans="1:5" ht="20.25" customHeight="1">
      <c r="A19" s="13"/>
      <c r="B19" s="14"/>
      <c r="C19" s="7" t="s">
        <v>925</v>
      </c>
      <c r="D19" s="29"/>
      <c r="E19" s="30"/>
    </row>
    <row r="20" spans="1:5" ht="20.25" customHeight="1">
      <c r="A20" s="13"/>
      <c r="B20" s="14"/>
      <c r="C20" s="7" t="s">
        <v>926</v>
      </c>
      <c r="D20" s="29"/>
      <c r="E20" s="30"/>
    </row>
    <row r="21" spans="1:5" ht="20.25" customHeight="1">
      <c r="A21" s="13"/>
      <c r="B21" s="14"/>
      <c r="C21" s="7" t="s">
        <v>927</v>
      </c>
      <c r="D21" s="29"/>
      <c r="E21" s="30"/>
    </row>
    <row r="22" spans="1:5" ht="20.25" customHeight="1">
      <c r="A22" s="13"/>
      <c r="B22" s="14"/>
      <c r="C22" s="7" t="s">
        <v>928</v>
      </c>
      <c r="D22" s="29"/>
      <c r="E22" s="30"/>
    </row>
    <row r="23" spans="1:5" ht="20.25" customHeight="1">
      <c r="A23" s="13"/>
      <c r="B23" s="14" t="s">
        <v>148</v>
      </c>
      <c r="C23" s="7" t="s">
        <v>929</v>
      </c>
      <c r="D23" s="29"/>
      <c r="E23" s="30"/>
    </row>
    <row r="24" spans="1:5" ht="20.25" customHeight="1">
      <c r="A24" s="13"/>
      <c r="B24" s="16" t="s">
        <v>789</v>
      </c>
      <c r="C24" s="7" t="s">
        <v>930</v>
      </c>
      <c r="D24" s="29"/>
      <c r="E24" s="30"/>
    </row>
    <row r="25" spans="1:5" ht="20.25" customHeight="1">
      <c r="A25" s="13"/>
      <c r="B25" s="14"/>
      <c r="C25" s="7" t="s">
        <v>931</v>
      </c>
      <c r="D25" s="29"/>
      <c r="E25" s="30"/>
    </row>
    <row r="26" spans="1:5" ht="20.25" customHeight="1">
      <c r="A26" s="13"/>
      <c r="B26" s="14"/>
      <c r="C26" s="7" t="s">
        <v>932</v>
      </c>
      <c r="D26" s="29"/>
      <c r="E26" s="30"/>
    </row>
    <row r="27" spans="1:5" ht="20.25" customHeight="1">
      <c r="A27" s="13"/>
      <c r="B27" s="14"/>
      <c r="C27" s="7" t="s">
        <v>933</v>
      </c>
      <c r="D27" s="29"/>
      <c r="E27" s="30"/>
    </row>
    <row r="28" spans="1:5" ht="20.25" customHeight="1">
      <c r="A28" s="13"/>
      <c r="B28" s="14"/>
      <c r="C28" s="7" t="s">
        <v>934</v>
      </c>
      <c r="D28" s="29"/>
      <c r="E28" s="30"/>
    </row>
    <row r="29" spans="1:5" ht="20.25" customHeight="1">
      <c r="A29" s="13"/>
      <c r="B29" s="14"/>
      <c r="C29" s="7" t="s">
        <v>935</v>
      </c>
      <c r="D29" s="29"/>
      <c r="E29" s="30"/>
    </row>
    <row r="30" spans="1:5" ht="20.25" customHeight="1">
      <c r="A30" s="13"/>
      <c r="B30" s="14"/>
      <c r="C30" s="7" t="s">
        <v>936</v>
      </c>
      <c r="D30" s="29"/>
      <c r="E30" s="30"/>
    </row>
    <row r="31" spans="1:5" ht="20.25" customHeight="1">
      <c r="A31" s="13"/>
      <c r="B31" s="14" t="s">
        <v>161</v>
      </c>
      <c r="C31" s="7" t="s">
        <v>937</v>
      </c>
      <c r="D31" s="29"/>
      <c r="E31" s="30"/>
    </row>
    <row r="32" spans="1:5" ht="20.25" customHeight="1">
      <c r="A32" s="13"/>
      <c r="B32" s="14" t="s">
        <v>148</v>
      </c>
      <c r="C32" s="7" t="s">
        <v>938</v>
      </c>
      <c r="D32" s="29"/>
      <c r="E32" s="30"/>
    </row>
    <row r="33" spans="1:7" ht="20.25" customHeight="1">
      <c r="A33" s="13"/>
      <c r="B33" s="16" t="s">
        <v>121</v>
      </c>
      <c r="C33" s="7" t="s">
        <v>939</v>
      </c>
      <c r="D33" s="29"/>
      <c r="E33" s="30"/>
    </row>
    <row r="34" spans="1:7" ht="20.25" customHeight="1">
      <c r="A34" s="13"/>
      <c r="B34" s="15" t="s">
        <v>122</v>
      </c>
      <c r="C34" s="7" t="s">
        <v>940</v>
      </c>
      <c r="D34" s="29"/>
      <c r="E34" s="30"/>
    </row>
    <row r="35" spans="1:7" ht="20.25" customHeight="1">
      <c r="A35" s="13"/>
      <c r="B35" s="15" t="s">
        <v>123</v>
      </c>
      <c r="C35" s="7" t="s">
        <v>941</v>
      </c>
      <c r="D35" s="29"/>
      <c r="E35" s="30"/>
    </row>
    <row r="36" spans="1:7" ht="20.25" customHeight="1">
      <c r="A36" s="13"/>
      <c r="B36" s="16" t="s">
        <v>1155</v>
      </c>
      <c r="C36" s="7" t="s">
        <v>942</v>
      </c>
      <c r="D36" s="29"/>
      <c r="E36" s="30"/>
    </row>
    <row r="37" spans="1:7" ht="20.25" customHeight="1">
      <c r="A37" s="13"/>
      <c r="B37" s="15" t="s">
        <v>124</v>
      </c>
      <c r="C37" s="7" t="s">
        <v>943</v>
      </c>
      <c r="D37" s="29"/>
      <c r="E37" s="30"/>
    </row>
    <row r="38" spans="1:7" ht="20.25" customHeight="1">
      <c r="A38" s="13"/>
      <c r="B38" s="15" t="s">
        <v>125</v>
      </c>
      <c r="C38" s="7" t="s">
        <v>944</v>
      </c>
      <c r="D38" s="29"/>
      <c r="E38" s="30"/>
    </row>
    <row r="39" spans="1:7" ht="20.25" customHeight="1">
      <c r="A39" s="27"/>
      <c r="B39" s="28" t="s">
        <v>126</v>
      </c>
      <c r="C39" s="23" t="s">
        <v>945</v>
      </c>
      <c r="D39" s="31"/>
      <c r="E39" s="32"/>
    </row>
    <row r="40" spans="1:7" ht="20.25" customHeight="1">
      <c r="D40" s="907" t="s">
        <v>143</v>
      </c>
      <c r="E40" s="907"/>
    </row>
    <row r="41" spans="1:7" s="21" customFormat="1" ht="33.75" customHeight="1">
      <c r="A41" s="11" t="s">
        <v>16</v>
      </c>
      <c r="B41" s="12" t="s">
        <v>0</v>
      </c>
      <c r="C41" s="6" t="s">
        <v>871</v>
      </c>
      <c r="D41" s="12" t="str">
        <f>D13</f>
        <v>За январь-март 2026 г.</v>
      </c>
      <c r="E41" s="44" t="str">
        <f>E13</f>
        <v>За январь-март 2025 г.</v>
      </c>
      <c r="G41" s="17"/>
    </row>
    <row r="42" spans="1:7" ht="18" customHeight="1">
      <c r="A42" s="13"/>
      <c r="B42" s="15" t="s">
        <v>127</v>
      </c>
      <c r="C42" s="7" t="s">
        <v>946</v>
      </c>
      <c r="D42" s="29"/>
      <c r="E42" s="30"/>
    </row>
    <row r="43" spans="1:7" ht="18" customHeight="1">
      <c r="A43" s="13"/>
      <c r="B43" s="15" t="s">
        <v>128</v>
      </c>
      <c r="C43" s="7" t="s">
        <v>947</v>
      </c>
      <c r="D43" s="29"/>
      <c r="E43" s="30"/>
    </row>
    <row r="44" spans="1:7" ht="21" hidden="1" customHeight="1">
      <c r="A44" s="13"/>
      <c r="B44" s="15"/>
      <c r="C44" s="7"/>
      <c r="D44" s="29"/>
      <c r="E44" s="30"/>
    </row>
    <row r="45" spans="1:7" ht="21">
      <c r="A45" s="13"/>
      <c r="B45" s="16" t="s">
        <v>909</v>
      </c>
      <c r="C45" s="7" t="s">
        <v>948</v>
      </c>
      <c r="D45" s="29"/>
      <c r="E45" s="30"/>
    </row>
    <row r="46" spans="1:7" ht="21" customHeight="1">
      <c r="A46" s="13"/>
      <c r="B46" s="16" t="s">
        <v>910</v>
      </c>
      <c r="C46" s="7" t="s">
        <v>197</v>
      </c>
      <c r="D46" s="29"/>
      <c r="E46" s="30"/>
    </row>
    <row r="47" spans="1:7" ht="21" customHeight="1">
      <c r="A47" s="13"/>
      <c r="B47" s="14" t="s">
        <v>911</v>
      </c>
      <c r="C47" s="7" t="s">
        <v>198</v>
      </c>
      <c r="D47" s="29"/>
      <c r="E47" s="30"/>
    </row>
    <row r="48" spans="1:7" ht="21" customHeight="1">
      <c r="A48" s="13"/>
      <c r="B48" s="14" t="s">
        <v>912</v>
      </c>
      <c r="C48" s="7" t="s">
        <v>195</v>
      </c>
      <c r="D48" s="29"/>
      <c r="E48" s="30"/>
    </row>
    <row r="49" spans="1:7" ht="21" customHeight="1">
      <c r="A49" s="13"/>
      <c r="B49" s="14" t="s">
        <v>129</v>
      </c>
      <c r="C49" s="7" t="s">
        <v>196</v>
      </c>
      <c r="D49" s="29"/>
      <c r="E49" s="30"/>
    </row>
    <row r="50" spans="1:7" ht="21" hidden="1" customHeight="1">
      <c r="A50" s="13"/>
      <c r="B50" s="14"/>
      <c r="C50" s="7"/>
      <c r="D50" s="29"/>
      <c r="E50" s="30"/>
    </row>
    <row r="51" spans="1:7" ht="21" hidden="1" customHeight="1">
      <c r="A51" s="13"/>
      <c r="B51" s="15"/>
      <c r="C51" s="7"/>
      <c r="D51" s="29"/>
      <c r="E51" s="30"/>
    </row>
    <row r="52" spans="1:7" ht="21" customHeight="1">
      <c r="A52" s="13"/>
      <c r="B52" s="15" t="s">
        <v>913</v>
      </c>
      <c r="C52" s="7" t="s">
        <v>914</v>
      </c>
      <c r="D52" s="29"/>
      <c r="E52" s="30"/>
    </row>
    <row r="53" spans="1:7" ht="21" customHeight="1">
      <c r="A53" s="13"/>
      <c r="B53" s="15" t="s">
        <v>142</v>
      </c>
      <c r="C53" s="7" t="s">
        <v>949</v>
      </c>
      <c r="D53" s="29"/>
      <c r="E53" s="30"/>
    </row>
    <row r="54" spans="1:7" ht="21" hidden="1" customHeight="1">
      <c r="A54" s="13"/>
      <c r="B54" s="40"/>
      <c r="C54" s="41"/>
      <c r="D54" s="42"/>
      <c r="E54" s="43"/>
    </row>
    <row r="55" spans="1:7" ht="1.5" hidden="1" customHeight="1">
      <c r="A55" s="36"/>
      <c r="B55" s="37"/>
      <c r="C55" s="35"/>
      <c r="D55" s="38"/>
      <c r="E55" s="39"/>
    </row>
    <row r="56" spans="1:7" ht="1.5" hidden="1" customHeight="1">
      <c r="A56" s="36"/>
      <c r="B56" s="37"/>
      <c r="C56" s="35"/>
      <c r="D56" s="38"/>
      <c r="E56" s="39"/>
    </row>
    <row r="57" spans="1:7" ht="21.75" customHeight="1">
      <c r="A57" s="13"/>
      <c r="B57" s="16" t="s">
        <v>1156</v>
      </c>
      <c r="C57" s="7" t="s">
        <v>950</v>
      </c>
      <c r="D57" s="29"/>
      <c r="E57" s="30"/>
    </row>
    <row r="58" spans="1:7" ht="48" hidden="1" customHeight="1">
      <c r="A58" s="469"/>
      <c r="B58" s="470"/>
      <c r="C58" s="471"/>
      <c r="D58" s="908"/>
      <c r="E58" s="908"/>
    </row>
    <row r="59" spans="1:7" s="21" customFormat="1" ht="33.75" hidden="1" customHeight="1">
      <c r="A59" s="465"/>
      <c r="B59" s="466"/>
      <c r="C59" s="467"/>
      <c r="D59" s="466"/>
      <c r="E59" s="468"/>
      <c r="G59" s="17"/>
    </row>
    <row r="60" spans="1:7" ht="21" hidden="1" customHeight="1">
      <c r="A60" s="13"/>
      <c r="B60" s="15" t="s">
        <v>130</v>
      </c>
      <c r="C60" s="7"/>
      <c r="D60" s="29"/>
      <c r="E60" s="30"/>
    </row>
    <row r="61" spans="1:7" ht="21" customHeight="1">
      <c r="A61" s="13"/>
      <c r="B61" s="15" t="s">
        <v>915</v>
      </c>
      <c r="C61" s="7" t="s">
        <v>951</v>
      </c>
      <c r="D61" s="29"/>
      <c r="E61" s="30"/>
    </row>
    <row r="62" spans="1:7" ht="21" customHeight="1">
      <c r="A62" s="13"/>
      <c r="B62" s="15" t="s">
        <v>916</v>
      </c>
      <c r="C62" s="7" t="s">
        <v>952</v>
      </c>
      <c r="D62" s="29"/>
      <c r="E62" s="30"/>
    </row>
    <row r="63" spans="1:7" ht="21" hidden="1" customHeight="1">
      <c r="A63" s="13"/>
      <c r="B63" s="15"/>
      <c r="C63" s="7"/>
      <c r="D63" s="29"/>
      <c r="E63" s="30"/>
    </row>
    <row r="64" spans="1:7" ht="31.5">
      <c r="A64" s="13"/>
      <c r="B64" s="15" t="s">
        <v>920</v>
      </c>
      <c r="C64" s="7" t="s">
        <v>194</v>
      </c>
      <c r="D64" s="29"/>
      <c r="E64" s="30"/>
    </row>
    <row r="65" spans="1:7" ht="21" customHeight="1">
      <c r="A65" s="13"/>
      <c r="B65" s="15" t="s">
        <v>917</v>
      </c>
      <c r="C65" s="7" t="s">
        <v>953</v>
      </c>
      <c r="D65" s="29"/>
      <c r="E65" s="30"/>
    </row>
    <row r="66" spans="1:7" ht="21" customHeight="1">
      <c r="A66" s="13"/>
      <c r="B66" s="15" t="s">
        <v>918</v>
      </c>
      <c r="C66" s="7" t="s">
        <v>954</v>
      </c>
      <c r="D66" s="840"/>
      <c r="E66" s="841"/>
    </row>
    <row r="67" spans="1:7" ht="21" customHeight="1">
      <c r="A67" s="27"/>
      <c r="B67" s="28" t="s">
        <v>919</v>
      </c>
      <c r="C67" s="23" t="s">
        <v>955</v>
      </c>
      <c r="D67" s="842"/>
      <c r="E67" s="843"/>
    </row>
    <row r="68" spans="1:7" ht="15" customHeight="1">
      <c r="B68" s="17"/>
      <c r="C68" s="17"/>
      <c r="E68" s="17"/>
    </row>
    <row r="69" spans="1:7" s="394" customFormat="1" ht="12.75">
      <c r="A69" s="390"/>
      <c r="B69" s="384" t="str">
        <f>'Общие сведения'!B34</f>
        <v>Наим. должности (Генеральный директор, Руководитель, ... )</v>
      </c>
      <c r="C69" s="392"/>
      <c r="D69" s="386"/>
      <c r="E69" s="386"/>
      <c r="F69" s="386"/>
      <c r="G69" s="393"/>
    </row>
    <row r="70" spans="1:7" s="394" customFormat="1" ht="12.75">
      <c r="A70" s="390"/>
      <c r="B70" s="411" t="s">
        <v>956</v>
      </c>
      <c r="C70" s="392"/>
      <c r="D70" s="386"/>
      <c r="E70" s="386"/>
      <c r="F70" s="386"/>
      <c r="G70" s="393"/>
    </row>
    <row r="71" spans="1:7" s="394" customFormat="1" ht="12.75">
      <c r="A71" s="390"/>
      <c r="B71" s="413"/>
      <c r="C71" s="392"/>
      <c r="D71" s="386"/>
      <c r="E71" s="386"/>
      <c r="F71" s="386"/>
      <c r="G71" s="393"/>
    </row>
    <row r="72" spans="1:7" s="400" customFormat="1" ht="11.25" customHeight="1">
      <c r="A72" s="395"/>
      <c r="B72" s="396"/>
      <c r="C72" s="397"/>
      <c r="D72" s="398"/>
      <c r="E72" s="398"/>
      <c r="G72" s="399"/>
    </row>
    <row r="73" spans="1:7" s="400" customFormat="1" ht="11.25" customHeight="1">
      <c r="A73" s="395"/>
      <c r="B73" s="391"/>
      <c r="C73" s="397"/>
      <c r="D73" s="900">
        <f>'Общие сведения'!D34</f>
        <v>0</v>
      </c>
      <c r="E73" s="900"/>
      <c r="G73" s="399"/>
    </row>
    <row r="74" spans="1:7" s="400" customFormat="1" ht="11.25" customHeight="1">
      <c r="A74" s="395"/>
      <c r="B74" s="412" t="s">
        <v>957</v>
      </c>
      <c r="C74" s="397"/>
      <c r="D74" s="899" t="s">
        <v>958</v>
      </c>
      <c r="E74" s="899"/>
      <c r="G74" s="399"/>
    </row>
    <row r="75" spans="1:7" s="400" customFormat="1" ht="11.25" customHeight="1">
      <c r="A75" s="395"/>
      <c r="B75" s="396"/>
      <c r="C75" s="397"/>
      <c r="D75" s="398"/>
      <c r="E75" s="398"/>
      <c r="G75" s="399"/>
    </row>
    <row r="76" spans="1:7" s="406" customFormat="1" ht="15" customHeight="1">
      <c r="A76" s="401"/>
      <c r="B76" s="402" t="s">
        <v>1140</v>
      </c>
      <c r="C76" s="403"/>
      <c r="D76" s="401"/>
      <c r="E76" s="404"/>
      <c r="F76" s="400"/>
      <c r="G76" s="405"/>
    </row>
    <row r="77" spans="1:7" ht="20.25" hidden="1" customHeight="1">
      <c r="A77" s="85" t="s">
        <v>159</v>
      </c>
      <c r="B77" s="114" t="s">
        <v>160</v>
      </c>
      <c r="C77" s="373" t="s">
        <v>187</v>
      </c>
      <c r="D77" s="112">
        <f>D53+D54</f>
        <v>0</v>
      </c>
      <c r="E77" s="112">
        <f>E53+E54</f>
        <v>0</v>
      </c>
    </row>
    <row r="78" spans="1:7" ht="20.25" hidden="1" customHeight="1">
      <c r="B78" s="111" t="s">
        <v>782</v>
      </c>
      <c r="C78" s="47"/>
      <c r="D78" s="45"/>
      <c r="E78" s="46"/>
    </row>
  </sheetData>
  <customSheetViews>
    <customSheetView guid="{449357B4-BB06-43EE-BDD1-E9DB10F5F758}" showPageBreaks="1" printArea="1" hiddenRows="1" view="pageBreakPreview" showRuler="0" topLeftCell="A19">
      <selection activeCell="B22" sqref="B22"/>
      <rowBreaks count="2" manualBreakCount="2">
        <brk id="39" max="4" man="1"/>
        <brk id="54" max="4" man="1"/>
      </rowBreaks>
      <pageMargins left="0.65" right="0.25" top="0.56999999999999995" bottom="0.71" header="0.5" footer="0.28999999999999998"/>
      <pageSetup paperSize="9" orientation="portrait" r:id="rId1"/>
      <headerFooter alignWithMargins="0"/>
    </customSheetView>
    <customSheetView guid="{8113CA6F-C5D4-47F4-A07D-D92EDC610AC3}" showPageBreaks="1" printArea="1" hiddenRows="1" view="pageBreakPreview" showRuler="0">
      <selection activeCell="D16" sqref="D16"/>
      <rowBreaks count="2" manualBreakCount="2">
        <brk id="39" max="4" man="1"/>
        <brk id="54" max="4" man="1"/>
      </rowBreaks>
      <pageMargins left="0.65" right="0.25" top="0.56999999999999995" bottom="0.71" header="0.5" footer="0.28999999999999998"/>
      <pageSetup paperSize="9" orientation="portrait" r:id="rId2"/>
      <headerFooter alignWithMargins="0"/>
    </customSheetView>
  </customSheetViews>
  <mergeCells count="11">
    <mergeCell ref="B6:D6"/>
    <mergeCell ref="D74:E74"/>
    <mergeCell ref="D40:E40"/>
    <mergeCell ref="D58:E58"/>
    <mergeCell ref="A1:D1"/>
    <mergeCell ref="A3:D3"/>
    <mergeCell ref="C5:D5"/>
    <mergeCell ref="A11:B11"/>
    <mergeCell ref="A7:C7"/>
    <mergeCell ref="A2:D2"/>
    <mergeCell ref="D73:E73"/>
  </mergeCells>
  <phoneticPr fontId="48" type="noConversion"/>
  <dataValidations count="1">
    <dataValidation type="textLength" errorStyle="warning" operator="lessThanOrEqual" allowBlank="1" showInputMessage="1" error="Длина текста в графе &quot;Номер пояснения&quot; должна быть не более 4 символов." sqref="A15:A39 A42:A57 A61:A67">
      <formula1>4</formula1>
    </dataValidation>
  </dataValidations>
  <pageMargins left="0.70866141732283472" right="0.23622047244094491" top="0.55118110236220474" bottom="0.70866141732283472" header="0.51181102362204722" footer="0.27559055118110237"/>
  <pageSetup paperSize="9" scale="98" fitToHeight="2" orientation="portrait" r:id="rId3"/>
  <headerFooter alignWithMargins="0"/>
  <rowBreaks count="1" manualBreakCount="1">
    <brk id="39" max="4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6" tint="0.59999389629810485"/>
  </sheetPr>
  <dimension ref="A1:T82"/>
  <sheetViews>
    <sheetView topLeftCell="A48" zoomScaleNormal="100" workbookViewId="0">
      <selection activeCell="B20" sqref="B20"/>
    </sheetView>
  </sheetViews>
  <sheetFormatPr defaultRowHeight="20.25" customHeight="1"/>
  <cols>
    <col min="1" max="1" width="5.5703125" style="85" bestFit="1" customWidth="1"/>
    <col min="2" max="2" width="27.42578125" style="85" customWidth="1"/>
    <col min="3" max="3" width="9.140625" style="53" customWidth="1"/>
    <col min="4" max="4" width="11.7109375" style="51" customWidth="1"/>
    <col min="5" max="5" width="20.140625" style="51" customWidth="1"/>
    <col min="6" max="6" width="11.7109375" style="51" hidden="1" customWidth="1"/>
    <col min="7" max="7" width="11.7109375" style="51" customWidth="1"/>
    <col min="8" max="8" width="11" style="51" customWidth="1"/>
    <col min="9" max="9" width="14.7109375" style="51" bestFit="1" customWidth="1"/>
    <col min="10" max="10" width="6.28515625" style="51" hidden="1" customWidth="1"/>
    <col min="11" max="11" width="14.28515625" style="51" customWidth="1"/>
    <col min="12" max="257" width="9.140625" style="85"/>
    <col min="258" max="258" width="27.5703125" style="85" customWidth="1"/>
    <col min="259" max="259" width="4.7109375" style="85" customWidth="1"/>
    <col min="260" max="260" width="9.85546875" style="85" customWidth="1"/>
    <col min="261" max="261" width="9.28515625" style="85" customWidth="1"/>
    <col min="262" max="262" width="10.5703125" style="85" customWidth="1"/>
    <col min="263" max="263" width="10.140625" style="85" customWidth="1"/>
    <col min="264" max="264" width="10.5703125" style="85" customWidth="1"/>
    <col min="265" max="265" width="0" style="85" hidden="1" customWidth="1"/>
    <col min="266" max="266" width="8.85546875" style="85" customWidth="1"/>
    <col min="267" max="267" width="12" style="85" customWidth="1"/>
    <col min="268" max="513" width="9.140625" style="85"/>
    <col min="514" max="514" width="27.5703125" style="85" customWidth="1"/>
    <col min="515" max="515" width="4.7109375" style="85" customWidth="1"/>
    <col min="516" max="516" width="9.85546875" style="85" customWidth="1"/>
    <col min="517" max="517" width="9.28515625" style="85" customWidth="1"/>
    <col min="518" max="518" width="10.5703125" style="85" customWidth="1"/>
    <col min="519" max="519" width="10.140625" style="85" customWidth="1"/>
    <col min="520" max="520" width="10.5703125" style="85" customWidth="1"/>
    <col min="521" max="521" width="0" style="85" hidden="1" customWidth="1"/>
    <col min="522" max="522" width="8.85546875" style="85" customWidth="1"/>
    <col min="523" max="523" width="12" style="85" customWidth="1"/>
    <col min="524" max="769" width="9.140625" style="85"/>
    <col min="770" max="770" width="27.5703125" style="85" customWidth="1"/>
    <col min="771" max="771" width="4.7109375" style="85" customWidth="1"/>
    <col min="772" max="772" width="9.85546875" style="85" customWidth="1"/>
    <col min="773" max="773" width="9.28515625" style="85" customWidth="1"/>
    <col min="774" max="774" width="10.5703125" style="85" customWidth="1"/>
    <col min="775" max="775" width="10.140625" style="85" customWidth="1"/>
    <col min="776" max="776" width="10.5703125" style="85" customWidth="1"/>
    <col min="777" max="777" width="0" style="85" hidden="1" customWidth="1"/>
    <col min="778" max="778" width="8.85546875" style="85" customWidth="1"/>
    <col min="779" max="779" width="12" style="85" customWidth="1"/>
    <col min="780" max="1025" width="9.140625" style="85"/>
    <col min="1026" max="1026" width="27.5703125" style="85" customWidth="1"/>
    <col min="1027" max="1027" width="4.7109375" style="85" customWidth="1"/>
    <col min="1028" max="1028" width="9.85546875" style="85" customWidth="1"/>
    <col min="1029" max="1029" width="9.28515625" style="85" customWidth="1"/>
    <col min="1030" max="1030" width="10.5703125" style="85" customWidth="1"/>
    <col min="1031" max="1031" width="10.140625" style="85" customWidth="1"/>
    <col min="1032" max="1032" width="10.5703125" style="85" customWidth="1"/>
    <col min="1033" max="1033" width="0" style="85" hidden="1" customWidth="1"/>
    <col min="1034" max="1034" width="8.85546875" style="85" customWidth="1"/>
    <col min="1035" max="1035" width="12" style="85" customWidth="1"/>
    <col min="1036" max="1281" width="9.140625" style="85"/>
    <col min="1282" max="1282" width="27.5703125" style="85" customWidth="1"/>
    <col min="1283" max="1283" width="4.7109375" style="85" customWidth="1"/>
    <col min="1284" max="1284" width="9.85546875" style="85" customWidth="1"/>
    <col min="1285" max="1285" width="9.28515625" style="85" customWidth="1"/>
    <col min="1286" max="1286" width="10.5703125" style="85" customWidth="1"/>
    <col min="1287" max="1287" width="10.140625" style="85" customWidth="1"/>
    <col min="1288" max="1288" width="10.5703125" style="85" customWidth="1"/>
    <col min="1289" max="1289" width="0" style="85" hidden="1" customWidth="1"/>
    <col min="1290" max="1290" width="8.85546875" style="85" customWidth="1"/>
    <col min="1291" max="1291" width="12" style="85" customWidth="1"/>
    <col min="1292" max="1537" width="9.140625" style="85"/>
    <col min="1538" max="1538" width="27.5703125" style="85" customWidth="1"/>
    <col min="1539" max="1539" width="4.7109375" style="85" customWidth="1"/>
    <col min="1540" max="1540" width="9.85546875" style="85" customWidth="1"/>
    <col min="1541" max="1541" width="9.28515625" style="85" customWidth="1"/>
    <col min="1542" max="1542" width="10.5703125" style="85" customWidth="1"/>
    <col min="1543" max="1543" width="10.140625" style="85" customWidth="1"/>
    <col min="1544" max="1544" width="10.5703125" style="85" customWidth="1"/>
    <col min="1545" max="1545" width="0" style="85" hidden="1" customWidth="1"/>
    <col min="1546" max="1546" width="8.85546875" style="85" customWidth="1"/>
    <col min="1547" max="1547" width="12" style="85" customWidth="1"/>
    <col min="1548" max="1793" width="9.140625" style="85"/>
    <col min="1794" max="1794" width="27.5703125" style="85" customWidth="1"/>
    <col min="1795" max="1795" width="4.7109375" style="85" customWidth="1"/>
    <col min="1796" max="1796" width="9.85546875" style="85" customWidth="1"/>
    <col min="1797" max="1797" width="9.28515625" style="85" customWidth="1"/>
    <col min="1798" max="1798" width="10.5703125" style="85" customWidth="1"/>
    <col min="1799" max="1799" width="10.140625" style="85" customWidth="1"/>
    <col min="1800" max="1800" width="10.5703125" style="85" customWidth="1"/>
    <col min="1801" max="1801" width="0" style="85" hidden="1" customWidth="1"/>
    <col min="1802" max="1802" width="8.85546875" style="85" customWidth="1"/>
    <col min="1803" max="1803" width="12" style="85" customWidth="1"/>
    <col min="1804" max="2049" width="9.140625" style="85"/>
    <col min="2050" max="2050" width="27.5703125" style="85" customWidth="1"/>
    <col min="2051" max="2051" width="4.7109375" style="85" customWidth="1"/>
    <col min="2052" max="2052" width="9.85546875" style="85" customWidth="1"/>
    <col min="2053" max="2053" width="9.28515625" style="85" customWidth="1"/>
    <col min="2054" max="2054" width="10.5703125" style="85" customWidth="1"/>
    <col min="2055" max="2055" width="10.140625" style="85" customWidth="1"/>
    <col min="2056" max="2056" width="10.5703125" style="85" customWidth="1"/>
    <col min="2057" max="2057" width="0" style="85" hidden="1" customWidth="1"/>
    <col min="2058" max="2058" width="8.85546875" style="85" customWidth="1"/>
    <col min="2059" max="2059" width="12" style="85" customWidth="1"/>
    <col min="2060" max="2305" width="9.140625" style="85"/>
    <col min="2306" max="2306" width="27.5703125" style="85" customWidth="1"/>
    <col min="2307" max="2307" width="4.7109375" style="85" customWidth="1"/>
    <col min="2308" max="2308" width="9.85546875" style="85" customWidth="1"/>
    <col min="2309" max="2309" width="9.28515625" style="85" customWidth="1"/>
    <col min="2310" max="2310" width="10.5703125" style="85" customWidth="1"/>
    <col min="2311" max="2311" width="10.140625" style="85" customWidth="1"/>
    <col min="2312" max="2312" width="10.5703125" style="85" customWidth="1"/>
    <col min="2313" max="2313" width="0" style="85" hidden="1" customWidth="1"/>
    <col min="2314" max="2314" width="8.85546875" style="85" customWidth="1"/>
    <col min="2315" max="2315" width="12" style="85" customWidth="1"/>
    <col min="2316" max="2561" width="9.140625" style="85"/>
    <col min="2562" max="2562" width="27.5703125" style="85" customWidth="1"/>
    <col min="2563" max="2563" width="4.7109375" style="85" customWidth="1"/>
    <col min="2564" max="2564" width="9.85546875" style="85" customWidth="1"/>
    <col min="2565" max="2565" width="9.28515625" style="85" customWidth="1"/>
    <col min="2566" max="2566" width="10.5703125" style="85" customWidth="1"/>
    <col min="2567" max="2567" width="10.140625" style="85" customWidth="1"/>
    <col min="2568" max="2568" width="10.5703125" style="85" customWidth="1"/>
    <col min="2569" max="2569" width="0" style="85" hidden="1" customWidth="1"/>
    <col min="2570" max="2570" width="8.85546875" style="85" customWidth="1"/>
    <col min="2571" max="2571" width="12" style="85" customWidth="1"/>
    <col min="2572" max="2817" width="9.140625" style="85"/>
    <col min="2818" max="2818" width="27.5703125" style="85" customWidth="1"/>
    <col min="2819" max="2819" width="4.7109375" style="85" customWidth="1"/>
    <col min="2820" max="2820" width="9.85546875" style="85" customWidth="1"/>
    <col min="2821" max="2821" width="9.28515625" style="85" customWidth="1"/>
    <col min="2822" max="2822" width="10.5703125" style="85" customWidth="1"/>
    <col min="2823" max="2823" width="10.140625" style="85" customWidth="1"/>
    <col min="2824" max="2824" width="10.5703125" style="85" customWidth="1"/>
    <col min="2825" max="2825" width="0" style="85" hidden="1" customWidth="1"/>
    <col min="2826" max="2826" width="8.85546875" style="85" customWidth="1"/>
    <col min="2827" max="2827" width="12" style="85" customWidth="1"/>
    <col min="2828" max="3073" width="9.140625" style="85"/>
    <col min="3074" max="3074" width="27.5703125" style="85" customWidth="1"/>
    <col min="3075" max="3075" width="4.7109375" style="85" customWidth="1"/>
    <col min="3076" max="3076" width="9.85546875" style="85" customWidth="1"/>
    <col min="3077" max="3077" width="9.28515625" style="85" customWidth="1"/>
    <col min="3078" max="3078" width="10.5703125" style="85" customWidth="1"/>
    <col min="3079" max="3079" width="10.140625" style="85" customWidth="1"/>
    <col min="3080" max="3080" width="10.5703125" style="85" customWidth="1"/>
    <col min="3081" max="3081" width="0" style="85" hidden="1" customWidth="1"/>
    <col min="3082" max="3082" width="8.85546875" style="85" customWidth="1"/>
    <col min="3083" max="3083" width="12" style="85" customWidth="1"/>
    <col min="3084" max="3329" width="9.140625" style="85"/>
    <col min="3330" max="3330" width="27.5703125" style="85" customWidth="1"/>
    <col min="3331" max="3331" width="4.7109375" style="85" customWidth="1"/>
    <col min="3332" max="3332" width="9.85546875" style="85" customWidth="1"/>
    <col min="3333" max="3333" width="9.28515625" style="85" customWidth="1"/>
    <col min="3334" max="3334" width="10.5703125" style="85" customWidth="1"/>
    <col min="3335" max="3335" width="10.140625" style="85" customWidth="1"/>
    <col min="3336" max="3336" width="10.5703125" style="85" customWidth="1"/>
    <col min="3337" max="3337" width="0" style="85" hidden="1" customWidth="1"/>
    <col min="3338" max="3338" width="8.85546875" style="85" customWidth="1"/>
    <col min="3339" max="3339" width="12" style="85" customWidth="1"/>
    <col min="3340" max="3585" width="9.140625" style="85"/>
    <col min="3586" max="3586" width="27.5703125" style="85" customWidth="1"/>
    <col min="3587" max="3587" width="4.7109375" style="85" customWidth="1"/>
    <col min="3588" max="3588" width="9.85546875" style="85" customWidth="1"/>
    <col min="3589" max="3589" width="9.28515625" style="85" customWidth="1"/>
    <col min="3590" max="3590" width="10.5703125" style="85" customWidth="1"/>
    <col min="3591" max="3591" width="10.140625" style="85" customWidth="1"/>
    <col min="3592" max="3592" width="10.5703125" style="85" customWidth="1"/>
    <col min="3593" max="3593" width="0" style="85" hidden="1" customWidth="1"/>
    <col min="3594" max="3594" width="8.85546875" style="85" customWidth="1"/>
    <col min="3595" max="3595" width="12" style="85" customWidth="1"/>
    <col min="3596" max="3841" width="9.140625" style="85"/>
    <col min="3842" max="3842" width="27.5703125" style="85" customWidth="1"/>
    <col min="3843" max="3843" width="4.7109375" style="85" customWidth="1"/>
    <col min="3844" max="3844" width="9.85546875" style="85" customWidth="1"/>
    <col min="3845" max="3845" width="9.28515625" style="85" customWidth="1"/>
    <col min="3846" max="3846" width="10.5703125" style="85" customWidth="1"/>
    <col min="3847" max="3847" width="10.140625" style="85" customWidth="1"/>
    <col min="3848" max="3848" width="10.5703125" style="85" customWidth="1"/>
    <col min="3849" max="3849" width="0" style="85" hidden="1" customWidth="1"/>
    <col min="3850" max="3850" width="8.85546875" style="85" customWidth="1"/>
    <col min="3851" max="3851" width="12" style="85" customWidth="1"/>
    <col min="3852" max="4097" width="9.140625" style="85"/>
    <col min="4098" max="4098" width="27.5703125" style="85" customWidth="1"/>
    <col min="4099" max="4099" width="4.7109375" style="85" customWidth="1"/>
    <col min="4100" max="4100" width="9.85546875" style="85" customWidth="1"/>
    <col min="4101" max="4101" width="9.28515625" style="85" customWidth="1"/>
    <col min="4102" max="4102" width="10.5703125" style="85" customWidth="1"/>
    <col min="4103" max="4103" width="10.140625" style="85" customWidth="1"/>
    <col min="4104" max="4104" width="10.5703125" style="85" customWidth="1"/>
    <col min="4105" max="4105" width="0" style="85" hidden="1" customWidth="1"/>
    <col min="4106" max="4106" width="8.85546875" style="85" customWidth="1"/>
    <col min="4107" max="4107" width="12" style="85" customWidth="1"/>
    <col min="4108" max="4353" width="9.140625" style="85"/>
    <col min="4354" max="4354" width="27.5703125" style="85" customWidth="1"/>
    <col min="4355" max="4355" width="4.7109375" style="85" customWidth="1"/>
    <col min="4356" max="4356" width="9.85546875" style="85" customWidth="1"/>
    <col min="4357" max="4357" width="9.28515625" style="85" customWidth="1"/>
    <col min="4358" max="4358" width="10.5703125" style="85" customWidth="1"/>
    <col min="4359" max="4359" width="10.140625" style="85" customWidth="1"/>
    <col min="4360" max="4360" width="10.5703125" style="85" customWidth="1"/>
    <col min="4361" max="4361" width="0" style="85" hidden="1" customWidth="1"/>
    <col min="4362" max="4362" width="8.85546875" style="85" customWidth="1"/>
    <col min="4363" max="4363" width="12" style="85" customWidth="1"/>
    <col min="4364" max="4609" width="9.140625" style="85"/>
    <col min="4610" max="4610" width="27.5703125" style="85" customWidth="1"/>
    <col min="4611" max="4611" width="4.7109375" style="85" customWidth="1"/>
    <col min="4612" max="4612" width="9.85546875" style="85" customWidth="1"/>
    <col min="4613" max="4613" width="9.28515625" style="85" customWidth="1"/>
    <col min="4614" max="4614" width="10.5703125" style="85" customWidth="1"/>
    <col min="4615" max="4615" width="10.140625" style="85" customWidth="1"/>
    <col min="4616" max="4616" width="10.5703125" style="85" customWidth="1"/>
    <col min="4617" max="4617" width="0" style="85" hidden="1" customWidth="1"/>
    <col min="4618" max="4618" width="8.85546875" style="85" customWidth="1"/>
    <col min="4619" max="4619" width="12" style="85" customWidth="1"/>
    <col min="4620" max="4865" width="9.140625" style="85"/>
    <col min="4866" max="4866" width="27.5703125" style="85" customWidth="1"/>
    <col min="4867" max="4867" width="4.7109375" style="85" customWidth="1"/>
    <col min="4868" max="4868" width="9.85546875" style="85" customWidth="1"/>
    <col min="4869" max="4869" width="9.28515625" style="85" customWidth="1"/>
    <col min="4870" max="4870" width="10.5703125" style="85" customWidth="1"/>
    <col min="4871" max="4871" width="10.140625" style="85" customWidth="1"/>
    <col min="4872" max="4872" width="10.5703125" style="85" customWidth="1"/>
    <col min="4873" max="4873" width="0" style="85" hidden="1" customWidth="1"/>
    <col min="4874" max="4874" width="8.85546875" style="85" customWidth="1"/>
    <col min="4875" max="4875" width="12" style="85" customWidth="1"/>
    <col min="4876" max="5121" width="9.140625" style="85"/>
    <col min="5122" max="5122" width="27.5703125" style="85" customWidth="1"/>
    <col min="5123" max="5123" width="4.7109375" style="85" customWidth="1"/>
    <col min="5124" max="5124" width="9.85546875" style="85" customWidth="1"/>
    <col min="5125" max="5125" width="9.28515625" style="85" customWidth="1"/>
    <col min="5126" max="5126" width="10.5703125" style="85" customWidth="1"/>
    <col min="5127" max="5127" width="10.140625" style="85" customWidth="1"/>
    <col min="5128" max="5128" width="10.5703125" style="85" customWidth="1"/>
    <col min="5129" max="5129" width="0" style="85" hidden="1" customWidth="1"/>
    <col min="5130" max="5130" width="8.85546875" style="85" customWidth="1"/>
    <col min="5131" max="5131" width="12" style="85" customWidth="1"/>
    <col min="5132" max="5377" width="9.140625" style="85"/>
    <col min="5378" max="5378" width="27.5703125" style="85" customWidth="1"/>
    <col min="5379" max="5379" width="4.7109375" style="85" customWidth="1"/>
    <col min="5380" max="5380" width="9.85546875" style="85" customWidth="1"/>
    <col min="5381" max="5381" width="9.28515625" style="85" customWidth="1"/>
    <col min="5382" max="5382" width="10.5703125" style="85" customWidth="1"/>
    <col min="5383" max="5383" width="10.140625" style="85" customWidth="1"/>
    <col min="5384" max="5384" width="10.5703125" style="85" customWidth="1"/>
    <col min="5385" max="5385" width="0" style="85" hidden="1" customWidth="1"/>
    <col min="5386" max="5386" width="8.85546875" style="85" customWidth="1"/>
    <col min="5387" max="5387" width="12" style="85" customWidth="1"/>
    <col min="5388" max="5633" width="9.140625" style="85"/>
    <col min="5634" max="5634" width="27.5703125" style="85" customWidth="1"/>
    <col min="5635" max="5635" width="4.7109375" style="85" customWidth="1"/>
    <col min="5636" max="5636" width="9.85546875" style="85" customWidth="1"/>
    <col min="5637" max="5637" width="9.28515625" style="85" customWidth="1"/>
    <col min="5638" max="5638" width="10.5703125" style="85" customWidth="1"/>
    <col min="5639" max="5639" width="10.140625" style="85" customWidth="1"/>
    <col min="5640" max="5640" width="10.5703125" style="85" customWidth="1"/>
    <col min="5641" max="5641" width="0" style="85" hidden="1" customWidth="1"/>
    <col min="5642" max="5642" width="8.85546875" style="85" customWidth="1"/>
    <col min="5643" max="5643" width="12" style="85" customWidth="1"/>
    <col min="5644" max="5889" width="9.140625" style="85"/>
    <col min="5890" max="5890" width="27.5703125" style="85" customWidth="1"/>
    <col min="5891" max="5891" width="4.7109375" style="85" customWidth="1"/>
    <col min="5892" max="5892" width="9.85546875" style="85" customWidth="1"/>
    <col min="5893" max="5893" width="9.28515625" style="85" customWidth="1"/>
    <col min="5894" max="5894" width="10.5703125" style="85" customWidth="1"/>
    <col min="5895" max="5895" width="10.140625" style="85" customWidth="1"/>
    <col min="5896" max="5896" width="10.5703125" style="85" customWidth="1"/>
    <col min="5897" max="5897" width="0" style="85" hidden="1" customWidth="1"/>
    <col min="5898" max="5898" width="8.85546875" style="85" customWidth="1"/>
    <col min="5899" max="5899" width="12" style="85" customWidth="1"/>
    <col min="5900" max="6145" width="9.140625" style="85"/>
    <col min="6146" max="6146" width="27.5703125" style="85" customWidth="1"/>
    <col min="6147" max="6147" width="4.7109375" style="85" customWidth="1"/>
    <col min="6148" max="6148" width="9.85546875" style="85" customWidth="1"/>
    <col min="6149" max="6149" width="9.28515625" style="85" customWidth="1"/>
    <col min="6150" max="6150" width="10.5703125" style="85" customWidth="1"/>
    <col min="6151" max="6151" width="10.140625" style="85" customWidth="1"/>
    <col min="6152" max="6152" width="10.5703125" style="85" customWidth="1"/>
    <col min="6153" max="6153" width="0" style="85" hidden="1" customWidth="1"/>
    <col min="6154" max="6154" width="8.85546875" style="85" customWidth="1"/>
    <col min="6155" max="6155" width="12" style="85" customWidth="1"/>
    <col min="6156" max="6401" width="9.140625" style="85"/>
    <col min="6402" max="6402" width="27.5703125" style="85" customWidth="1"/>
    <col min="6403" max="6403" width="4.7109375" style="85" customWidth="1"/>
    <col min="6404" max="6404" width="9.85546875" style="85" customWidth="1"/>
    <col min="6405" max="6405" width="9.28515625" style="85" customWidth="1"/>
    <col min="6406" max="6406" width="10.5703125" style="85" customWidth="1"/>
    <col min="6407" max="6407" width="10.140625" style="85" customWidth="1"/>
    <col min="6408" max="6408" width="10.5703125" style="85" customWidth="1"/>
    <col min="6409" max="6409" width="0" style="85" hidden="1" customWidth="1"/>
    <col min="6410" max="6410" width="8.85546875" style="85" customWidth="1"/>
    <col min="6411" max="6411" width="12" style="85" customWidth="1"/>
    <col min="6412" max="6657" width="9.140625" style="85"/>
    <col min="6658" max="6658" width="27.5703125" style="85" customWidth="1"/>
    <col min="6659" max="6659" width="4.7109375" style="85" customWidth="1"/>
    <col min="6660" max="6660" width="9.85546875" style="85" customWidth="1"/>
    <col min="6661" max="6661" width="9.28515625" style="85" customWidth="1"/>
    <col min="6662" max="6662" width="10.5703125" style="85" customWidth="1"/>
    <col min="6663" max="6663" width="10.140625" style="85" customWidth="1"/>
    <col min="6664" max="6664" width="10.5703125" style="85" customWidth="1"/>
    <col min="6665" max="6665" width="0" style="85" hidden="1" customWidth="1"/>
    <col min="6666" max="6666" width="8.85546875" style="85" customWidth="1"/>
    <col min="6667" max="6667" width="12" style="85" customWidth="1"/>
    <col min="6668" max="6913" width="9.140625" style="85"/>
    <col min="6914" max="6914" width="27.5703125" style="85" customWidth="1"/>
    <col min="6915" max="6915" width="4.7109375" style="85" customWidth="1"/>
    <col min="6916" max="6916" width="9.85546875" style="85" customWidth="1"/>
    <col min="6917" max="6917" width="9.28515625" style="85" customWidth="1"/>
    <col min="6918" max="6918" width="10.5703125" style="85" customWidth="1"/>
    <col min="6919" max="6919" width="10.140625" style="85" customWidth="1"/>
    <col min="6920" max="6920" width="10.5703125" style="85" customWidth="1"/>
    <col min="6921" max="6921" width="0" style="85" hidden="1" customWidth="1"/>
    <col min="6922" max="6922" width="8.85546875" style="85" customWidth="1"/>
    <col min="6923" max="6923" width="12" style="85" customWidth="1"/>
    <col min="6924" max="7169" width="9.140625" style="85"/>
    <col min="7170" max="7170" width="27.5703125" style="85" customWidth="1"/>
    <col min="7171" max="7171" width="4.7109375" style="85" customWidth="1"/>
    <col min="7172" max="7172" width="9.85546875" style="85" customWidth="1"/>
    <col min="7173" max="7173" width="9.28515625" style="85" customWidth="1"/>
    <col min="7174" max="7174" width="10.5703125" style="85" customWidth="1"/>
    <col min="7175" max="7175" width="10.140625" style="85" customWidth="1"/>
    <col min="7176" max="7176" width="10.5703125" style="85" customWidth="1"/>
    <col min="7177" max="7177" width="0" style="85" hidden="1" customWidth="1"/>
    <col min="7178" max="7178" width="8.85546875" style="85" customWidth="1"/>
    <col min="7179" max="7179" width="12" style="85" customWidth="1"/>
    <col min="7180" max="7425" width="9.140625" style="85"/>
    <col min="7426" max="7426" width="27.5703125" style="85" customWidth="1"/>
    <col min="7427" max="7427" width="4.7109375" style="85" customWidth="1"/>
    <col min="7428" max="7428" width="9.85546875" style="85" customWidth="1"/>
    <col min="7429" max="7429" width="9.28515625" style="85" customWidth="1"/>
    <col min="7430" max="7430" width="10.5703125" style="85" customWidth="1"/>
    <col min="7431" max="7431" width="10.140625" style="85" customWidth="1"/>
    <col min="7432" max="7432" width="10.5703125" style="85" customWidth="1"/>
    <col min="7433" max="7433" width="0" style="85" hidden="1" customWidth="1"/>
    <col min="7434" max="7434" width="8.85546875" style="85" customWidth="1"/>
    <col min="7435" max="7435" width="12" style="85" customWidth="1"/>
    <col min="7436" max="7681" width="9.140625" style="85"/>
    <col min="7682" max="7682" width="27.5703125" style="85" customWidth="1"/>
    <col min="7683" max="7683" width="4.7109375" style="85" customWidth="1"/>
    <col min="7684" max="7684" width="9.85546875" style="85" customWidth="1"/>
    <col min="7685" max="7685" width="9.28515625" style="85" customWidth="1"/>
    <col min="7686" max="7686" width="10.5703125" style="85" customWidth="1"/>
    <col min="7687" max="7687" width="10.140625" style="85" customWidth="1"/>
    <col min="7688" max="7688" width="10.5703125" style="85" customWidth="1"/>
    <col min="7689" max="7689" width="0" style="85" hidden="1" customWidth="1"/>
    <col min="7690" max="7690" width="8.85546875" style="85" customWidth="1"/>
    <col min="7691" max="7691" width="12" style="85" customWidth="1"/>
    <col min="7692" max="7937" width="9.140625" style="85"/>
    <col min="7938" max="7938" width="27.5703125" style="85" customWidth="1"/>
    <col min="7939" max="7939" width="4.7109375" style="85" customWidth="1"/>
    <col min="7940" max="7940" width="9.85546875" style="85" customWidth="1"/>
    <col min="7941" max="7941" width="9.28515625" style="85" customWidth="1"/>
    <col min="7942" max="7942" width="10.5703125" style="85" customWidth="1"/>
    <col min="7943" max="7943" width="10.140625" style="85" customWidth="1"/>
    <col min="7944" max="7944" width="10.5703125" style="85" customWidth="1"/>
    <col min="7945" max="7945" width="0" style="85" hidden="1" customWidth="1"/>
    <col min="7946" max="7946" width="8.85546875" style="85" customWidth="1"/>
    <col min="7947" max="7947" width="12" style="85" customWidth="1"/>
    <col min="7948" max="8193" width="9.140625" style="85"/>
    <col min="8194" max="8194" width="27.5703125" style="85" customWidth="1"/>
    <col min="8195" max="8195" width="4.7109375" style="85" customWidth="1"/>
    <col min="8196" max="8196" width="9.85546875" style="85" customWidth="1"/>
    <col min="8197" max="8197" width="9.28515625" style="85" customWidth="1"/>
    <col min="8198" max="8198" width="10.5703125" style="85" customWidth="1"/>
    <col min="8199" max="8199" width="10.140625" style="85" customWidth="1"/>
    <col min="8200" max="8200" width="10.5703125" style="85" customWidth="1"/>
    <col min="8201" max="8201" width="0" style="85" hidden="1" customWidth="1"/>
    <col min="8202" max="8202" width="8.85546875" style="85" customWidth="1"/>
    <col min="8203" max="8203" width="12" style="85" customWidth="1"/>
    <col min="8204" max="8449" width="9.140625" style="85"/>
    <col min="8450" max="8450" width="27.5703125" style="85" customWidth="1"/>
    <col min="8451" max="8451" width="4.7109375" style="85" customWidth="1"/>
    <col min="8452" max="8452" width="9.85546875" style="85" customWidth="1"/>
    <col min="8453" max="8453" width="9.28515625" style="85" customWidth="1"/>
    <col min="8454" max="8454" width="10.5703125" style="85" customWidth="1"/>
    <col min="8455" max="8455" width="10.140625" style="85" customWidth="1"/>
    <col min="8456" max="8456" width="10.5703125" style="85" customWidth="1"/>
    <col min="8457" max="8457" width="0" style="85" hidden="1" customWidth="1"/>
    <col min="8458" max="8458" width="8.85546875" style="85" customWidth="1"/>
    <col min="8459" max="8459" width="12" style="85" customWidth="1"/>
    <col min="8460" max="8705" width="9.140625" style="85"/>
    <col min="8706" max="8706" width="27.5703125" style="85" customWidth="1"/>
    <col min="8707" max="8707" width="4.7109375" style="85" customWidth="1"/>
    <col min="8708" max="8708" width="9.85546875" style="85" customWidth="1"/>
    <col min="8709" max="8709" width="9.28515625" style="85" customWidth="1"/>
    <col min="8710" max="8710" width="10.5703125" style="85" customWidth="1"/>
    <col min="8711" max="8711" width="10.140625" style="85" customWidth="1"/>
    <col min="8712" max="8712" width="10.5703125" style="85" customWidth="1"/>
    <col min="8713" max="8713" width="0" style="85" hidden="1" customWidth="1"/>
    <col min="8714" max="8714" width="8.85546875" style="85" customWidth="1"/>
    <col min="8715" max="8715" width="12" style="85" customWidth="1"/>
    <col min="8716" max="8961" width="9.140625" style="85"/>
    <col min="8962" max="8962" width="27.5703125" style="85" customWidth="1"/>
    <col min="8963" max="8963" width="4.7109375" style="85" customWidth="1"/>
    <col min="8964" max="8964" width="9.85546875" style="85" customWidth="1"/>
    <col min="8965" max="8965" width="9.28515625" style="85" customWidth="1"/>
    <col min="8966" max="8966" width="10.5703125" style="85" customWidth="1"/>
    <col min="8967" max="8967" width="10.140625" style="85" customWidth="1"/>
    <col min="8968" max="8968" width="10.5703125" style="85" customWidth="1"/>
    <col min="8969" max="8969" width="0" style="85" hidden="1" customWidth="1"/>
    <col min="8970" max="8970" width="8.85546875" style="85" customWidth="1"/>
    <col min="8971" max="8971" width="12" style="85" customWidth="1"/>
    <col min="8972" max="9217" width="9.140625" style="85"/>
    <col min="9218" max="9218" width="27.5703125" style="85" customWidth="1"/>
    <col min="9219" max="9219" width="4.7109375" style="85" customWidth="1"/>
    <col min="9220" max="9220" width="9.85546875" style="85" customWidth="1"/>
    <col min="9221" max="9221" width="9.28515625" style="85" customWidth="1"/>
    <col min="9222" max="9222" width="10.5703125" style="85" customWidth="1"/>
    <col min="9223" max="9223" width="10.140625" style="85" customWidth="1"/>
    <col min="9224" max="9224" width="10.5703125" style="85" customWidth="1"/>
    <col min="9225" max="9225" width="0" style="85" hidden="1" customWidth="1"/>
    <col min="9226" max="9226" width="8.85546875" style="85" customWidth="1"/>
    <col min="9227" max="9227" width="12" style="85" customWidth="1"/>
    <col min="9228" max="9473" width="9.140625" style="85"/>
    <col min="9474" max="9474" width="27.5703125" style="85" customWidth="1"/>
    <col min="9475" max="9475" width="4.7109375" style="85" customWidth="1"/>
    <col min="9476" max="9476" width="9.85546875" style="85" customWidth="1"/>
    <col min="9477" max="9477" width="9.28515625" style="85" customWidth="1"/>
    <col min="9478" max="9478" width="10.5703125" style="85" customWidth="1"/>
    <col min="9479" max="9479" width="10.140625" style="85" customWidth="1"/>
    <col min="9480" max="9480" width="10.5703125" style="85" customWidth="1"/>
    <col min="9481" max="9481" width="0" style="85" hidden="1" customWidth="1"/>
    <col min="9482" max="9482" width="8.85546875" style="85" customWidth="1"/>
    <col min="9483" max="9483" width="12" style="85" customWidth="1"/>
    <col min="9484" max="9729" width="9.140625" style="85"/>
    <col min="9730" max="9730" width="27.5703125" style="85" customWidth="1"/>
    <col min="9731" max="9731" width="4.7109375" style="85" customWidth="1"/>
    <col min="9732" max="9732" width="9.85546875" style="85" customWidth="1"/>
    <col min="9733" max="9733" width="9.28515625" style="85" customWidth="1"/>
    <col min="9734" max="9734" width="10.5703125" style="85" customWidth="1"/>
    <col min="9735" max="9735" width="10.140625" style="85" customWidth="1"/>
    <col min="9736" max="9736" width="10.5703125" style="85" customWidth="1"/>
    <col min="9737" max="9737" width="0" style="85" hidden="1" customWidth="1"/>
    <col min="9738" max="9738" width="8.85546875" style="85" customWidth="1"/>
    <col min="9739" max="9739" width="12" style="85" customWidth="1"/>
    <col min="9740" max="9985" width="9.140625" style="85"/>
    <col min="9986" max="9986" width="27.5703125" style="85" customWidth="1"/>
    <col min="9987" max="9987" width="4.7109375" style="85" customWidth="1"/>
    <col min="9988" max="9988" width="9.85546875" style="85" customWidth="1"/>
    <col min="9989" max="9989" width="9.28515625" style="85" customWidth="1"/>
    <col min="9990" max="9990" width="10.5703125" style="85" customWidth="1"/>
    <col min="9991" max="9991" width="10.140625" style="85" customWidth="1"/>
    <col min="9992" max="9992" width="10.5703125" style="85" customWidth="1"/>
    <col min="9993" max="9993" width="0" style="85" hidden="1" customWidth="1"/>
    <col min="9994" max="9994" width="8.85546875" style="85" customWidth="1"/>
    <col min="9995" max="9995" width="12" style="85" customWidth="1"/>
    <col min="9996" max="10241" width="9.140625" style="85"/>
    <col min="10242" max="10242" width="27.5703125" style="85" customWidth="1"/>
    <col min="10243" max="10243" width="4.7109375" style="85" customWidth="1"/>
    <col min="10244" max="10244" width="9.85546875" style="85" customWidth="1"/>
    <col min="10245" max="10245" width="9.28515625" style="85" customWidth="1"/>
    <col min="10246" max="10246" width="10.5703125" style="85" customWidth="1"/>
    <col min="10247" max="10247" width="10.140625" style="85" customWidth="1"/>
    <col min="10248" max="10248" width="10.5703125" style="85" customWidth="1"/>
    <col min="10249" max="10249" width="0" style="85" hidden="1" customWidth="1"/>
    <col min="10250" max="10250" width="8.85546875" style="85" customWidth="1"/>
    <col min="10251" max="10251" width="12" style="85" customWidth="1"/>
    <col min="10252" max="10497" width="9.140625" style="85"/>
    <col min="10498" max="10498" width="27.5703125" style="85" customWidth="1"/>
    <col min="10499" max="10499" width="4.7109375" style="85" customWidth="1"/>
    <col min="10500" max="10500" width="9.85546875" style="85" customWidth="1"/>
    <col min="10501" max="10501" width="9.28515625" style="85" customWidth="1"/>
    <col min="10502" max="10502" width="10.5703125" style="85" customWidth="1"/>
    <col min="10503" max="10503" width="10.140625" style="85" customWidth="1"/>
    <col min="10504" max="10504" width="10.5703125" style="85" customWidth="1"/>
    <col min="10505" max="10505" width="0" style="85" hidden="1" customWidth="1"/>
    <col min="10506" max="10506" width="8.85546875" style="85" customWidth="1"/>
    <col min="10507" max="10507" width="12" style="85" customWidth="1"/>
    <col min="10508" max="10753" width="9.140625" style="85"/>
    <col min="10754" max="10754" width="27.5703125" style="85" customWidth="1"/>
    <col min="10755" max="10755" width="4.7109375" style="85" customWidth="1"/>
    <col min="10756" max="10756" width="9.85546875" style="85" customWidth="1"/>
    <col min="10757" max="10757" width="9.28515625" style="85" customWidth="1"/>
    <col min="10758" max="10758" width="10.5703125" style="85" customWidth="1"/>
    <col min="10759" max="10759" width="10.140625" style="85" customWidth="1"/>
    <col min="10760" max="10760" width="10.5703125" style="85" customWidth="1"/>
    <col min="10761" max="10761" width="0" style="85" hidden="1" customWidth="1"/>
    <col min="10762" max="10762" width="8.85546875" style="85" customWidth="1"/>
    <col min="10763" max="10763" width="12" style="85" customWidth="1"/>
    <col min="10764" max="11009" width="9.140625" style="85"/>
    <col min="11010" max="11010" width="27.5703125" style="85" customWidth="1"/>
    <col min="11011" max="11011" width="4.7109375" style="85" customWidth="1"/>
    <col min="11012" max="11012" width="9.85546875" style="85" customWidth="1"/>
    <col min="11013" max="11013" width="9.28515625" style="85" customWidth="1"/>
    <col min="11014" max="11014" width="10.5703125" style="85" customWidth="1"/>
    <col min="11015" max="11015" width="10.140625" style="85" customWidth="1"/>
    <col min="11016" max="11016" width="10.5703125" style="85" customWidth="1"/>
    <col min="11017" max="11017" width="0" style="85" hidden="1" customWidth="1"/>
    <col min="11018" max="11018" width="8.85546875" style="85" customWidth="1"/>
    <col min="11019" max="11019" width="12" style="85" customWidth="1"/>
    <col min="11020" max="11265" width="9.140625" style="85"/>
    <col min="11266" max="11266" width="27.5703125" style="85" customWidth="1"/>
    <col min="11267" max="11267" width="4.7109375" style="85" customWidth="1"/>
    <col min="11268" max="11268" width="9.85546875" style="85" customWidth="1"/>
    <col min="11269" max="11269" width="9.28515625" style="85" customWidth="1"/>
    <col min="11270" max="11270" width="10.5703125" style="85" customWidth="1"/>
    <col min="11271" max="11271" width="10.140625" style="85" customWidth="1"/>
    <col min="11272" max="11272" width="10.5703125" style="85" customWidth="1"/>
    <col min="11273" max="11273" width="0" style="85" hidden="1" customWidth="1"/>
    <col min="11274" max="11274" width="8.85546875" style="85" customWidth="1"/>
    <col min="11275" max="11275" width="12" style="85" customWidth="1"/>
    <col min="11276" max="11521" width="9.140625" style="85"/>
    <col min="11522" max="11522" width="27.5703125" style="85" customWidth="1"/>
    <col min="11523" max="11523" width="4.7109375" style="85" customWidth="1"/>
    <col min="11524" max="11524" width="9.85546875" style="85" customWidth="1"/>
    <col min="11525" max="11525" width="9.28515625" style="85" customWidth="1"/>
    <col min="11526" max="11526" width="10.5703125" style="85" customWidth="1"/>
    <col min="11527" max="11527" width="10.140625" style="85" customWidth="1"/>
    <col min="11528" max="11528" width="10.5703125" style="85" customWidth="1"/>
    <col min="11529" max="11529" width="0" style="85" hidden="1" customWidth="1"/>
    <col min="11530" max="11530" width="8.85546875" style="85" customWidth="1"/>
    <col min="11531" max="11531" width="12" style="85" customWidth="1"/>
    <col min="11532" max="11777" width="9.140625" style="85"/>
    <col min="11778" max="11778" width="27.5703125" style="85" customWidth="1"/>
    <col min="11779" max="11779" width="4.7109375" style="85" customWidth="1"/>
    <col min="11780" max="11780" width="9.85546875" style="85" customWidth="1"/>
    <col min="11781" max="11781" width="9.28515625" style="85" customWidth="1"/>
    <col min="11782" max="11782" width="10.5703125" style="85" customWidth="1"/>
    <col min="11783" max="11783" width="10.140625" style="85" customWidth="1"/>
    <col min="11784" max="11784" width="10.5703125" style="85" customWidth="1"/>
    <col min="11785" max="11785" width="0" style="85" hidden="1" customWidth="1"/>
    <col min="11786" max="11786" width="8.85546875" style="85" customWidth="1"/>
    <col min="11787" max="11787" width="12" style="85" customWidth="1"/>
    <col min="11788" max="12033" width="9.140625" style="85"/>
    <col min="12034" max="12034" width="27.5703125" style="85" customWidth="1"/>
    <col min="12035" max="12035" width="4.7109375" style="85" customWidth="1"/>
    <col min="12036" max="12036" width="9.85546875" style="85" customWidth="1"/>
    <col min="12037" max="12037" width="9.28515625" style="85" customWidth="1"/>
    <col min="12038" max="12038" width="10.5703125" style="85" customWidth="1"/>
    <col min="12039" max="12039" width="10.140625" style="85" customWidth="1"/>
    <col min="12040" max="12040" width="10.5703125" style="85" customWidth="1"/>
    <col min="12041" max="12041" width="0" style="85" hidden="1" customWidth="1"/>
    <col min="12042" max="12042" width="8.85546875" style="85" customWidth="1"/>
    <col min="12043" max="12043" width="12" style="85" customWidth="1"/>
    <col min="12044" max="12289" width="9.140625" style="85"/>
    <col min="12290" max="12290" width="27.5703125" style="85" customWidth="1"/>
    <col min="12291" max="12291" width="4.7109375" style="85" customWidth="1"/>
    <col min="12292" max="12292" width="9.85546875" style="85" customWidth="1"/>
    <col min="12293" max="12293" width="9.28515625" style="85" customWidth="1"/>
    <col min="12294" max="12294" width="10.5703125" style="85" customWidth="1"/>
    <col min="12295" max="12295" width="10.140625" style="85" customWidth="1"/>
    <col min="12296" max="12296" width="10.5703125" style="85" customWidth="1"/>
    <col min="12297" max="12297" width="0" style="85" hidden="1" customWidth="1"/>
    <col min="12298" max="12298" width="8.85546875" style="85" customWidth="1"/>
    <col min="12299" max="12299" width="12" style="85" customWidth="1"/>
    <col min="12300" max="12545" width="9.140625" style="85"/>
    <col min="12546" max="12546" width="27.5703125" style="85" customWidth="1"/>
    <col min="12547" max="12547" width="4.7109375" style="85" customWidth="1"/>
    <col min="12548" max="12548" width="9.85546875" style="85" customWidth="1"/>
    <col min="12549" max="12549" width="9.28515625" style="85" customWidth="1"/>
    <col min="12550" max="12550" width="10.5703125" style="85" customWidth="1"/>
    <col min="12551" max="12551" width="10.140625" style="85" customWidth="1"/>
    <col min="12552" max="12552" width="10.5703125" style="85" customWidth="1"/>
    <col min="12553" max="12553" width="0" style="85" hidden="1" customWidth="1"/>
    <col min="12554" max="12554" width="8.85546875" style="85" customWidth="1"/>
    <col min="12555" max="12555" width="12" style="85" customWidth="1"/>
    <col min="12556" max="12801" width="9.140625" style="85"/>
    <col min="12802" max="12802" width="27.5703125" style="85" customWidth="1"/>
    <col min="12803" max="12803" width="4.7109375" style="85" customWidth="1"/>
    <col min="12804" max="12804" width="9.85546875" style="85" customWidth="1"/>
    <col min="12805" max="12805" width="9.28515625" style="85" customWidth="1"/>
    <col min="12806" max="12806" width="10.5703125" style="85" customWidth="1"/>
    <col min="12807" max="12807" width="10.140625" style="85" customWidth="1"/>
    <col min="12808" max="12808" width="10.5703125" style="85" customWidth="1"/>
    <col min="12809" max="12809" width="0" style="85" hidden="1" customWidth="1"/>
    <col min="12810" max="12810" width="8.85546875" style="85" customWidth="1"/>
    <col min="12811" max="12811" width="12" style="85" customWidth="1"/>
    <col min="12812" max="13057" width="9.140625" style="85"/>
    <col min="13058" max="13058" width="27.5703125" style="85" customWidth="1"/>
    <col min="13059" max="13059" width="4.7109375" style="85" customWidth="1"/>
    <col min="13060" max="13060" width="9.85546875" style="85" customWidth="1"/>
    <col min="13061" max="13061" width="9.28515625" style="85" customWidth="1"/>
    <col min="13062" max="13062" width="10.5703125" style="85" customWidth="1"/>
    <col min="13063" max="13063" width="10.140625" style="85" customWidth="1"/>
    <col min="13064" max="13064" width="10.5703125" style="85" customWidth="1"/>
    <col min="13065" max="13065" width="0" style="85" hidden="1" customWidth="1"/>
    <col min="13066" max="13066" width="8.85546875" style="85" customWidth="1"/>
    <col min="13067" max="13067" width="12" style="85" customWidth="1"/>
    <col min="13068" max="13313" width="9.140625" style="85"/>
    <col min="13314" max="13314" width="27.5703125" style="85" customWidth="1"/>
    <col min="13315" max="13315" width="4.7109375" style="85" customWidth="1"/>
    <col min="13316" max="13316" width="9.85546875" style="85" customWidth="1"/>
    <col min="13317" max="13317" width="9.28515625" style="85" customWidth="1"/>
    <col min="13318" max="13318" width="10.5703125" style="85" customWidth="1"/>
    <col min="13319" max="13319" width="10.140625" style="85" customWidth="1"/>
    <col min="13320" max="13320" width="10.5703125" style="85" customWidth="1"/>
    <col min="13321" max="13321" width="0" style="85" hidden="1" customWidth="1"/>
    <col min="13322" max="13322" width="8.85546875" style="85" customWidth="1"/>
    <col min="13323" max="13323" width="12" style="85" customWidth="1"/>
    <col min="13324" max="13569" width="9.140625" style="85"/>
    <col min="13570" max="13570" width="27.5703125" style="85" customWidth="1"/>
    <col min="13571" max="13571" width="4.7109375" style="85" customWidth="1"/>
    <col min="13572" max="13572" width="9.85546875" style="85" customWidth="1"/>
    <col min="13573" max="13573" width="9.28515625" style="85" customWidth="1"/>
    <col min="13574" max="13574" width="10.5703125" style="85" customWidth="1"/>
    <col min="13575" max="13575" width="10.140625" style="85" customWidth="1"/>
    <col min="13576" max="13576" width="10.5703125" style="85" customWidth="1"/>
    <col min="13577" max="13577" width="0" style="85" hidden="1" customWidth="1"/>
    <col min="13578" max="13578" width="8.85546875" style="85" customWidth="1"/>
    <col min="13579" max="13579" width="12" style="85" customWidth="1"/>
    <col min="13580" max="13825" width="9.140625" style="85"/>
    <col min="13826" max="13826" width="27.5703125" style="85" customWidth="1"/>
    <col min="13827" max="13827" width="4.7109375" style="85" customWidth="1"/>
    <col min="13828" max="13828" width="9.85546875" style="85" customWidth="1"/>
    <col min="13829" max="13829" width="9.28515625" style="85" customWidth="1"/>
    <col min="13830" max="13830" width="10.5703125" style="85" customWidth="1"/>
    <col min="13831" max="13831" width="10.140625" style="85" customWidth="1"/>
    <col min="13832" max="13832" width="10.5703125" style="85" customWidth="1"/>
    <col min="13833" max="13833" width="0" style="85" hidden="1" customWidth="1"/>
    <col min="13834" max="13834" width="8.85546875" style="85" customWidth="1"/>
    <col min="13835" max="13835" width="12" style="85" customWidth="1"/>
    <col min="13836" max="14081" width="9.140625" style="85"/>
    <col min="14082" max="14082" width="27.5703125" style="85" customWidth="1"/>
    <col min="14083" max="14083" width="4.7109375" style="85" customWidth="1"/>
    <col min="14084" max="14084" width="9.85546875" style="85" customWidth="1"/>
    <col min="14085" max="14085" width="9.28515625" style="85" customWidth="1"/>
    <col min="14086" max="14086" width="10.5703125" style="85" customWidth="1"/>
    <col min="14087" max="14087" width="10.140625" style="85" customWidth="1"/>
    <col min="14088" max="14088" width="10.5703125" style="85" customWidth="1"/>
    <col min="14089" max="14089" width="0" style="85" hidden="1" customWidth="1"/>
    <col min="14090" max="14090" width="8.85546875" style="85" customWidth="1"/>
    <col min="14091" max="14091" width="12" style="85" customWidth="1"/>
    <col min="14092" max="14337" width="9.140625" style="85"/>
    <col min="14338" max="14338" width="27.5703125" style="85" customWidth="1"/>
    <col min="14339" max="14339" width="4.7109375" style="85" customWidth="1"/>
    <col min="14340" max="14340" width="9.85546875" style="85" customWidth="1"/>
    <col min="14341" max="14341" width="9.28515625" style="85" customWidth="1"/>
    <col min="14342" max="14342" width="10.5703125" style="85" customWidth="1"/>
    <col min="14343" max="14343" width="10.140625" style="85" customWidth="1"/>
    <col min="14344" max="14344" width="10.5703125" style="85" customWidth="1"/>
    <col min="14345" max="14345" width="0" style="85" hidden="1" customWidth="1"/>
    <col min="14346" max="14346" width="8.85546875" style="85" customWidth="1"/>
    <col min="14347" max="14347" width="12" style="85" customWidth="1"/>
    <col min="14348" max="14593" width="9.140625" style="85"/>
    <col min="14594" max="14594" width="27.5703125" style="85" customWidth="1"/>
    <col min="14595" max="14595" width="4.7109375" style="85" customWidth="1"/>
    <col min="14596" max="14596" width="9.85546875" style="85" customWidth="1"/>
    <col min="14597" max="14597" width="9.28515625" style="85" customWidth="1"/>
    <col min="14598" max="14598" width="10.5703125" style="85" customWidth="1"/>
    <col min="14599" max="14599" width="10.140625" style="85" customWidth="1"/>
    <col min="14600" max="14600" width="10.5703125" style="85" customWidth="1"/>
    <col min="14601" max="14601" width="0" style="85" hidden="1" customWidth="1"/>
    <col min="14602" max="14602" width="8.85546875" style="85" customWidth="1"/>
    <col min="14603" max="14603" width="12" style="85" customWidth="1"/>
    <col min="14604" max="14849" width="9.140625" style="85"/>
    <col min="14850" max="14850" width="27.5703125" style="85" customWidth="1"/>
    <col min="14851" max="14851" width="4.7109375" style="85" customWidth="1"/>
    <col min="14852" max="14852" width="9.85546875" style="85" customWidth="1"/>
    <col min="14853" max="14853" width="9.28515625" style="85" customWidth="1"/>
    <col min="14854" max="14854" width="10.5703125" style="85" customWidth="1"/>
    <col min="14855" max="14855" width="10.140625" style="85" customWidth="1"/>
    <col min="14856" max="14856" width="10.5703125" style="85" customWidth="1"/>
    <col min="14857" max="14857" width="0" style="85" hidden="1" customWidth="1"/>
    <col min="14858" max="14858" width="8.85546875" style="85" customWidth="1"/>
    <col min="14859" max="14859" width="12" style="85" customWidth="1"/>
    <col min="14860" max="15105" width="9.140625" style="85"/>
    <col min="15106" max="15106" width="27.5703125" style="85" customWidth="1"/>
    <col min="15107" max="15107" width="4.7109375" style="85" customWidth="1"/>
    <col min="15108" max="15108" width="9.85546875" style="85" customWidth="1"/>
    <col min="15109" max="15109" width="9.28515625" style="85" customWidth="1"/>
    <col min="15110" max="15110" width="10.5703125" style="85" customWidth="1"/>
    <col min="15111" max="15111" width="10.140625" style="85" customWidth="1"/>
    <col min="15112" max="15112" width="10.5703125" style="85" customWidth="1"/>
    <col min="15113" max="15113" width="0" style="85" hidden="1" customWidth="1"/>
    <col min="15114" max="15114" width="8.85546875" style="85" customWidth="1"/>
    <col min="15115" max="15115" width="12" style="85" customWidth="1"/>
    <col min="15116" max="15361" width="9.140625" style="85"/>
    <col min="15362" max="15362" width="27.5703125" style="85" customWidth="1"/>
    <col min="15363" max="15363" width="4.7109375" style="85" customWidth="1"/>
    <col min="15364" max="15364" width="9.85546875" style="85" customWidth="1"/>
    <col min="15365" max="15365" width="9.28515625" style="85" customWidth="1"/>
    <col min="15366" max="15366" width="10.5703125" style="85" customWidth="1"/>
    <col min="15367" max="15367" width="10.140625" style="85" customWidth="1"/>
    <col min="15368" max="15368" width="10.5703125" style="85" customWidth="1"/>
    <col min="15369" max="15369" width="0" style="85" hidden="1" customWidth="1"/>
    <col min="15370" max="15370" width="8.85546875" style="85" customWidth="1"/>
    <col min="15371" max="15371" width="12" style="85" customWidth="1"/>
    <col min="15372" max="15617" width="9.140625" style="85"/>
    <col min="15618" max="15618" width="27.5703125" style="85" customWidth="1"/>
    <col min="15619" max="15619" width="4.7109375" style="85" customWidth="1"/>
    <col min="15620" max="15620" width="9.85546875" style="85" customWidth="1"/>
    <col min="15621" max="15621" width="9.28515625" style="85" customWidth="1"/>
    <col min="15622" max="15622" width="10.5703125" style="85" customWidth="1"/>
    <col min="15623" max="15623" width="10.140625" style="85" customWidth="1"/>
    <col min="15624" max="15624" width="10.5703125" style="85" customWidth="1"/>
    <col min="15625" max="15625" width="0" style="85" hidden="1" customWidth="1"/>
    <col min="15626" max="15626" width="8.85546875" style="85" customWidth="1"/>
    <col min="15627" max="15627" width="12" style="85" customWidth="1"/>
    <col min="15628" max="15873" width="9.140625" style="85"/>
    <col min="15874" max="15874" width="27.5703125" style="85" customWidth="1"/>
    <col min="15875" max="15875" width="4.7109375" style="85" customWidth="1"/>
    <col min="15876" max="15876" width="9.85546875" style="85" customWidth="1"/>
    <col min="15877" max="15877" width="9.28515625" style="85" customWidth="1"/>
    <col min="15878" max="15878" width="10.5703125" style="85" customWidth="1"/>
    <col min="15879" max="15879" width="10.140625" style="85" customWidth="1"/>
    <col min="15880" max="15880" width="10.5703125" style="85" customWidth="1"/>
    <col min="15881" max="15881" width="0" style="85" hidden="1" customWidth="1"/>
    <col min="15882" max="15882" width="8.85546875" style="85" customWidth="1"/>
    <col min="15883" max="15883" width="12" style="85" customWidth="1"/>
    <col min="15884" max="16129" width="9.140625" style="85"/>
    <col min="16130" max="16130" width="27.5703125" style="85" customWidth="1"/>
    <col min="16131" max="16131" width="4.7109375" style="85" customWidth="1"/>
    <col min="16132" max="16132" width="9.85546875" style="85" customWidth="1"/>
    <col min="16133" max="16133" width="9.28515625" style="85" customWidth="1"/>
    <col min="16134" max="16134" width="10.5703125" style="85" customWidth="1"/>
    <col min="16135" max="16135" width="10.140625" style="85" customWidth="1"/>
    <col min="16136" max="16136" width="10.5703125" style="85" customWidth="1"/>
    <col min="16137" max="16137" width="0" style="85" hidden="1" customWidth="1"/>
    <col min="16138" max="16138" width="8.85546875" style="85" customWidth="1"/>
    <col min="16139" max="16139" width="12" style="85" customWidth="1"/>
    <col min="16140" max="16384" width="9.140625" style="85"/>
  </cols>
  <sheetData>
    <row r="1" spans="1:13" ht="15.75" customHeight="1">
      <c r="A1" s="913" t="s">
        <v>742</v>
      </c>
      <c r="B1" s="913"/>
      <c r="C1" s="913"/>
      <c r="D1" s="913"/>
      <c r="E1" s="913"/>
      <c r="F1" s="913"/>
      <c r="G1" s="913"/>
      <c r="H1" s="913"/>
      <c r="I1" s="913"/>
      <c r="J1" s="913"/>
    </row>
    <row r="2" spans="1:13" ht="15.75">
      <c r="A2" s="914" t="str">
        <f>"за " &amp; IF(MONTH('Общие сведения'!D2)=3, "январь - март " &amp; YEAR('Общие сведения'!D2) &amp; " года", IF(MONTH('Общие сведения'!D2)=6, "январь - июнь " &amp; YEAR('Общие сведения'!D2) &amp; " года", IF(MONTH('Общие сведения'!D2)=9, "январь - сентябрь " &amp; YEAR('Общие сведения'!D2) &amp; " года", YEAR('Общие сведения'!D2) &amp; " год")))</f>
        <v>за январь - март 2026 года</v>
      </c>
      <c r="B2" s="914"/>
      <c r="C2" s="914"/>
      <c r="D2" s="914"/>
      <c r="E2" s="914"/>
      <c r="F2" s="914"/>
      <c r="G2" s="914"/>
      <c r="H2" s="914"/>
      <c r="I2" s="914"/>
      <c r="J2" s="914"/>
    </row>
    <row r="3" spans="1:13" ht="15.75" hidden="1">
      <c r="B3" s="918"/>
      <c r="C3" s="918"/>
      <c r="D3" s="918"/>
      <c r="E3" s="918"/>
      <c r="F3" s="918"/>
      <c r="G3" s="918"/>
      <c r="H3" s="918"/>
    </row>
    <row r="4" spans="1:13" ht="8.25" customHeight="1">
      <c r="B4" s="86"/>
      <c r="C4" s="86"/>
      <c r="D4" s="86"/>
      <c r="E4" s="86"/>
      <c r="F4" s="86"/>
      <c r="G4" s="86"/>
      <c r="H4" s="86"/>
    </row>
    <row r="5" spans="1:13" ht="15.75" customHeight="1">
      <c r="B5" s="87"/>
      <c r="C5" s="88"/>
      <c r="D5" s="52"/>
      <c r="E5" s="52"/>
      <c r="F5" s="52"/>
      <c r="G5" s="52"/>
      <c r="H5" s="52"/>
      <c r="I5" s="52"/>
      <c r="J5" s="52"/>
      <c r="K5" s="89" t="s">
        <v>199</v>
      </c>
    </row>
    <row r="6" spans="1:13" ht="15.75" customHeight="1">
      <c r="B6" s="90"/>
      <c r="C6" s="88"/>
      <c r="D6" s="52"/>
      <c r="E6" s="52"/>
      <c r="F6" s="52"/>
      <c r="G6" s="91"/>
      <c r="H6" s="915" t="s">
        <v>200</v>
      </c>
      <c r="I6" s="915"/>
      <c r="J6" s="916"/>
      <c r="K6" s="92" t="s">
        <v>1165</v>
      </c>
      <c r="M6" s="93" t="s">
        <v>201</v>
      </c>
    </row>
    <row r="7" spans="1:13" ht="15.75" customHeight="1">
      <c r="B7" s="87"/>
      <c r="C7" s="88"/>
      <c r="D7" s="52"/>
      <c r="E7" s="52"/>
      <c r="F7" s="52"/>
      <c r="G7" s="915" t="s">
        <v>908</v>
      </c>
      <c r="H7" s="915"/>
      <c r="I7" s="915"/>
      <c r="J7" s="916"/>
      <c r="K7" s="474" t="str">
        <f>" " &amp; 'Общие сведения'!D16</f>
        <v xml:space="preserve"> 31 / 03 / 2026</v>
      </c>
    </row>
    <row r="8" spans="1:13" ht="16.5" customHeight="1">
      <c r="A8" s="922" t="str">
        <f>" Организация " &amp; 'Общие сведения'!D18</f>
        <v xml:space="preserve"> Организация </v>
      </c>
      <c r="B8" s="922"/>
      <c r="C8" s="922"/>
      <c r="D8" s="922"/>
      <c r="E8" s="922"/>
      <c r="F8" s="922"/>
      <c r="G8" s="922"/>
      <c r="H8" s="915" t="s">
        <v>202</v>
      </c>
      <c r="I8" s="915"/>
      <c r="J8" s="916"/>
      <c r="K8" s="94" t="str">
        <f>" " &amp; 'Общие сведения'!D19</f>
        <v xml:space="preserve"> </v>
      </c>
    </row>
    <row r="9" spans="1:13" s="379" customFormat="1" ht="13.5" hidden="1" customHeight="1">
      <c r="B9" s="374"/>
      <c r="C9" s="374"/>
      <c r="D9" s="374"/>
      <c r="E9" s="374"/>
      <c r="F9" s="374"/>
      <c r="G9" s="375"/>
      <c r="H9" s="376"/>
      <c r="I9" s="376"/>
      <c r="J9" s="377"/>
      <c r="K9" s="378"/>
    </row>
    <row r="10" spans="1:13" s="379" customFormat="1" ht="21" hidden="1" customHeight="1">
      <c r="B10" s="374"/>
      <c r="C10" s="374"/>
      <c r="D10" s="374"/>
      <c r="E10" s="374"/>
      <c r="F10" s="374"/>
      <c r="G10" s="374"/>
      <c r="H10" s="376"/>
      <c r="I10" s="376"/>
      <c r="J10" s="377"/>
      <c r="K10" s="378"/>
    </row>
    <row r="11" spans="1:13" s="379" customFormat="1" ht="13.5" hidden="1" customHeight="1">
      <c r="B11" s="374"/>
      <c r="C11" s="374"/>
      <c r="D11" s="374"/>
      <c r="E11" s="374"/>
      <c r="F11" s="374"/>
      <c r="G11" s="380"/>
      <c r="H11" s="381"/>
      <c r="I11" s="382"/>
      <c r="J11" s="375"/>
      <c r="K11" s="383"/>
    </row>
    <row r="12" spans="1:13" ht="15.75" customHeight="1">
      <c r="A12" s="922" t="s">
        <v>145</v>
      </c>
      <c r="B12" s="922"/>
      <c r="C12" s="88"/>
      <c r="D12" s="52"/>
      <c r="E12" s="52"/>
      <c r="F12" s="52"/>
      <c r="G12" s="91"/>
      <c r="H12" s="915" t="s">
        <v>203</v>
      </c>
      <c r="I12" s="915"/>
      <c r="J12" s="916"/>
      <c r="K12" s="97" t="str">
        <f>" " &amp; 'Общие сведения'!D15</f>
        <v xml:space="preserve"> 384</v>
      </c>
    </row>
    <row r="13" spans="1:13" ht="9.75" customHeight="1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spans="1:13" ht="57" customHeight="1">
      <c r="A14" s="11" t="s">
        <v>16</v>
      </c>
      <c r="B14" s="98" t="s">
        <v>0</v>
      </c>
      <c r="C14" s="98" t="s">
        <v>871</v>
      </c>
      <c r="D14" s="99" t="s">
        <v>204</v>
      </c>
      <c r="E14" s="100" t="s">
        <v>891</v>
      </c>
      <c r="F14" s="99" t="s">
        <v>892</v>
      </c>
      <c r="G14" s="101" t="s">
        <v>893</v>
      </c>
      <c r="H14" s="99" t="s">
        <v>64</v>
      </c>
      <c r="I14" s="101" t="s">
        <v>66</v>
      </c>
      <c r="J14" s="99"/>
      <c r="K14" s="102" t="s">
        <v>205</v>
      </c>
      <c r="M14" s="106"/>
    </row>
    <row r="15" spans="1:13" s="379" customFormat="1" ht="15" hidden="1" customHeight="1">
      <c r="B15" s="695" t="s">
        <v>1121</v>
      </c>
      <c r="C15" s="364"/>
      <c r="D15" s="694" t="s">
        <v>1122</v>
      </c>
      <c r="E15" s="694" t="s">
        <v>1123</v>
      </c>
      <c r="F15" s="740" t="s">
        <v>1124</v>
      </c>
      <c r="G15" s="694" t="s">
        <v>1125</v>
      </c>
      <c r="H15" s="694" t="s">
        <v>1126</v>
      </c>
      <c r="I15" s="694" t="s">
        <v>1127</v>
      </c>
      <c r="J15" s="694" t="s">
        <v>1128</v>
      </c>
      <c r="K15" s="694" t="s">
        <v>1129</v>
      </c>
    </row>
    <row r="16" spans="1:13" s="452" customFormat="1" ht="15.75">
      <c r="A16" s="447"/>
      <c r="B16" s="448" t="str">
        <f>"На 31 декабря " &amp; YEAR('Общие сведения'!$D$2)-2 &amp; " г."</f>
        <v>На 31 декабря 2024 г.</v>
      </c>
      <c r="C16" s="449">
        <v>3100</v>
      </c>
      <c r="D16" s="450"/>
      <c r="E16" s="450"/>
      <c r="F16" s="103" t="s">
        <v>1022</v>
      </c>
      <c r="G16" s="450"/>
      <c r="H16" s="450"/>
      <c r="I16" s="450"/>
      <c r="J16" s="450"/>
      <c r="K16" s="451">
        <f>SUM(D16:J16)</f>
        <v>0</v>
      </c>
      <c r="M16" s="453"/>
    </row>
    <row r="17" spans="1:20" s="105" customFormat="1" ht="31.5">
      <c r="A17" s="441"/>
      <c r="B17" s="443" t="s">
        <v>1023</v>
      </c>
      <c r="C17" s="113">
        <v>3110</v>
      </c>
      <c r="D17" s="103" t="s">
        <v>1022</v>
      </c>
      <c r="E17" s="103" t="s">
        <v>1022</v>
      </c>
      <c r="F17" s="103" t="s">
        <v>1022</v>
      </c>
      <c r="G17" s="104"/>
      <c r="H17" s="104"/>
      <c r="I17" s="104"/>
      <c r="J17" s="104"/>
      <c r="K17" s="462">
        <f t="shared" ref="K17:K39" si="0">SUM(D17:J17)</f>
        <v>0</v>
      </c>
      <c r="M17" s="106"/>
    </row>
    <row r="18" spans="1:20" s="105" customFormat="1" ht="15.75">
      <c r="A18" s="441"/>
      <c r="B18" s="443" t="s">
        <v>1024</v>
      </c>
      <c r="C18" s="113">
        <v>3120</v>
      </c>
      <c r="D18" s="103" t="s">
        <v>1022</v>
      </c>
      <c r="E18" s="103" t="s">
        <v>1022</v>
      </c>
      <c r="F18" s="103" t="s">
        <v>1022</v>
      </c>
      <c r="G18" s="104"/>
      <c r="H18" s="104"/>
      <c r="I18" s="104"/>
      <c r="J18" s="104"/>
      <c r="K18" s="462">
        <f t="shared" si="0"/>
        <v>0</v>
      </c>
      <c r="M18" s="106"/>
    </row>
    <row r="19" spans="1:20" s="452" customFormat="1" ht="21">
      <c r="A19" s="454"/>
      <c r="B19" s="455" t="str">
        <f>"На 31 декабря " &amp; YEAR('Общие сведения'!$D$2)-2 &amp; " г.
после корректировки"</f>
        <v>На 31 декабря 2024 г.
после корректировки</v>
      </c>
      <c r="C19" s="811">
        <v>3101</v>
      </c>
      <c r="D19" s="530"/>
      <c r="E19" s="530"/>
      <c r="F19" s="104" t="s">
        <v>1022</v>
      </c>
      <c r="G19" s="530"/>
      <c r="H19" s="530"/>
      <c r="I19" s="530"/>
      <c r="J19" s="530"/>
      <c r="K19" s="461">
        <f t="shared" si="0"/>
        <v>0</v>
      </c>
      <c r="M19" s="453"/>
    </row>
    <row r="20" spans="1:20" s="107" customFormat="1" ht="35.1" customHeight="1">
      <c r="A20" s="442"/>
      <c r="B20" s="786" t="str">
        <f>"за " &amp; IF(MONTH('Общие сведения'!D2)=3, "январь - март " &amp; YEAR('Общие сведения'!D2)-1 &amp; " года
Чистая прибыль (убыток)
", IF(MONTH('Общие сведения'!D2)=6, "январь - июнь " &amp; YEAR('Общие сведения'!D2)-1 &amp; " года
Чистая прибыль (убыток)
", IF(MONTH('Общие сведения'!D2)=9, "январь - сентябрь " &amp; YEAR('Общие сведения'!D2)-1 &amp; " года
Чистая прибыль (убыток)
", YEAR('Общие сведения'!D2)-1 &amp; " год
Чистая прибыль (убыток)
")))</f>
        <v xml:space="preserve">за январь - март 2025 года
Чистая прибыль (убыток)
</v>
      </c>
      <c r="C20" s="589">
        <v>3211</v>
      </c>
      <c r="D20" s="590" t="s">
        <v>1022</v>
      </c>
      <c r="E20" s="590" t="s">
        <v>1022</v>
      </c>
      <c r="F20" s="590" t="s">
        <v>1022</v>
      </c>
      <c r="G20" s="590" t="s">
        <v>1022</v>
      </c>
      <c r="H20" s="590" t="s">
        <v>1022</v>
      </c>
      <c r="I20" s="591"/>
      <c r="J20" s="591"/>
      <c r="K20" s="592">
        <f t="shared" si="0"/>
        <v>0</v>
      </c>
      <c r="M20" s="106"/>
    </row>
    <row r="21" spans="1:20" s="105" customFormat="1" ht="21">
      <c r="A21" s="441"/>
      <c r="B21" s="443" t="s">
        <v>976</v>
      </c>
      <c r="C21" s="113">
        <v>3212</v>
      </c>
      <c r="D21" s="103" t="s">
        <v>1022</v>
      </c>
      <c r="E21" s="103" t="s">
        <v>1022</v>
      </c>
      <c r="F21" s="103" t="s">
        <v>1022</v>
      </c>
      <c r="G21" s="103" t="s">
        <v>1022</v>
      </c>
      <c r="H21" s="103" t="s">
        <v>1022</v>
      </c>
      <c r="I21" s="103" t="s">
        <v>1022</v>
      </c>
      <c r="J21" s="104"/>
      <c r="K21" s="462">
        <f t="shared" si="0"/>
        <v>0</v>
      </c>
      <c r="M21" s="107"/>
      <c r="N21" s="107"/>
      <c r="O21" s="107"/>
      <c r="P21" s="107"/>
      <c r="Q21" s="107"/>
      <c r="R21" s="107"/>
      <c r="S21" s="107"/>
      <c r="T21" s="107"/>
    </row>
    <row r="22" spans="1:20" s="105" customFormat="1" ht="15.75">
      <c r="A22" s="441"/>
      <c r="B22" s="443" t="s">
        <v>977</v>
      </c>
      <c r="C22" s="113">
        <v>3227</v>
      </c>
      <c r="D22" s="103" t="s">
        <v>1022</v>
      </c>
      <c r="E22" s="103" t="s">
        <v>1022</v>
      </c>
      <c r="F22" s="103" t="s">
        <v>1022</v>
      </c>
      <c r="G22" s="103" t="s">
        <v>1022</v>
      </c>
      <c r="H22" s="103" t="s">
        <v>1022</v>
      </c>
      <c r="I22" s="104"/>
      <c r="J22" s="104"/>
      <c r="K22" s="462">
        <f t="shared" si="0"/>
        <v>0</v>
      </c>
      <c r="M22" s="106"/>
    </row>
    <row r="23" spans="1:20" s="105" customFormat="1" ht="42">
      <c r="A23" s="441"/>
      <c r="B23" s="443" t="s">
        <v>978</v>
      </c>
      <c r="C23" s="113">
        <v>3230</v>
      </c>
      <c r="D23" s="104">
        <f t="shared" ref="D23:I23" si="1">SUM(D24:D30)</f>
        <v>0</v>
      </c>
      <c r="E23" s="104">
        <f t="shared" si="1"/>
        <v>0</v>
      </c>
      <c r="F23" s="104">
        <f t="shared" si="1"/>
        <v>0</v>
      </c>
      <c r="G23" s="104">
        <f t="shared" si="1"/>
        <v>0</v>
      </c>
      <c r="H23" s="104">
        <f t="shared" si="1"/>
        <v>0</v>
      </c>
      <c r="I23" s="104">
        <f t="shared" si="1"/>
        <v>0</v>
      </c>
      <c r="J23" s="104"/>
      <c r="K23" s="462">
        <f>SUM(D23:J23)</f>
        <v>0</v>
      </c>
      <c r="M23" s="106"/>
    </row>
    <row r="24" spans="1:20" s="105" customFormat="1" ht="15.75">
      <c r="A24" s="441"/>
      <c r="B24" s="460" t="s">
        <v>207</v>
      </c>
      <c r="C24" s="226"/>
      <c r="D24" s="108"/>
      <c r="E24" s="108"/>
      <c r="F24" s="108"/>
      <c r="G24" s="108"/>
      <c r="H24" s="108"/>
      <c r="I24" s="108"/>
      <c r="J24" s="108"/>
      <c r="K24" s="463"/>
      <c r="M24" s="106"/>
    </row>
    <row r="25" spans="1:20" s="105" customFormat="1" ht="15.75">
      <c r="A25" s="441"/>
      <c r="B25" s="444" t="s">
        <v>1059</v>
      </c>
      <c r="C25" s="113">
        <v>3231</v>
      </c>
      <c r="D25" s="104"/>
      <c r="E25" s="103" t="s">
        <v>1022</v>
      </c>
      <c r="F25" s="103" t="s">
        <v>1022</v>
      </c>
      <c r="G25" s="104"/>
      <c r="H25" s="103" t="s">
        <v>1022</v>
      </c>
      <c r="I25" s="103" t="s">
        <v>1022</v>
      </c>
      <c r="J25" s="104"/>
      <c r="K25" s="462">
        <f t="shared" si="0"/>
        <v>0</v>
      </c>
      <c r="M25" s="106"/>
    </row>
    <row r="26" spans="1:20" s="105" customFormat="1" ht="31.5">
      <c r="A26" s="441"/>
      <c r="B26" s="444" t="s">
        <v>979</v>
      </c>
      <c r="C26" s="113">
        <v>3232</v>
      </c>
      <c r="D26" s="104"/>
      <c r="E26" s="103" t="s">
        <v>1022</v>
      </c>
      <c r="F26" s="103" t="s">
        <v>1022</v>
      </c>
      <c r="G26" s="104"/>
      <c r="H26" s="103" t="s">
        <v>1022</v>
      </c>
      <c r="I26" s="104"/>
      <c r="J26" s="104"/>
      <c r="K26" s="462">
        <f t="shared" si="0"/>
        <v>0</v>
      </c>
      <c r="M26" s="106"/>
    </row>
    <row r="27" spans="1:20" s="105" customFormat="1" ht="21">
      <c r="A27" s="441"/>
      <c r="B27" s="444" t="s">
        <v>980</v>
      </c>
      <c r="C27" s="113">
        <v>3233</v>
      </c>
      <c r="D27" s="103" t="s">
        <v>1022</v>
      </c>
      <c r="E27" s="104"/>
      <c r="F27" s="103" t="s">
        <v>1022</v>
      </c>
      <c r="G27" s="103" t="s">
        <v>1022</v>
      </c>
      <c r="H27" s="103" t="s">
        <v>1022</v>
      </c>
      <c r="I27" s="103" t="s">
        <v>1022</v>
      </c>
      <c r="J27" s="104"/>
      <c r="K27" s="462">
        <f t="shared" si="0"/>
        <v>0</v>
      </c>
      <c r="M27" s="106"/>
    </row>
    <row r="28" spans="1:20" s="105" customFormat="1" ht="21">
      <c r="A28" s="441"/>
      <c r="B28" s="444" t="s">
        <v>981</v>
      </c>
      <c r="C28" s="113">
        <v>3234</v>
      </c>
      <c r="D28" s="104"/>
      <c r="E28" s="104"/>
      <c r="F28" s="103" t="s">
        <v>1022</v>
      </c>
      <c r="G28" s="103" t="s">
        <v>1022</v>
      </c>
      <c r="H28" s="103" t="s">
        <v>1022</v>
      </c>
      <c r="I28" s="103" t="s">
        <v>1022</v>
      </c>
      <c r="J28" s="104"/>
      <c r="K28" s="462">
        <f t="shared" si="0"/>
        <v>0</v>
      </c>
      <c r="M28" s="106"/>
    </row>
    <row r="29" spans="1:20" s="105" customFormat="1" ht="15.75">
      <c r="A29" s="441"/>
      <c r="B29" s="444" t="s">
        <v>984</v>
      </c>
      <c r="C29" s="113">
        <v>3235</v>
      </c>
      <c r="D29" s="103" t="s">
        <v>1022</v>
      </c>
      <c r="E29" s="103" t="s">
        <v>1022</v>
      </c>
      <c r="F29" s="103" t="s">
        <v>1022</v>
      </c>
      <c r="G29" s="104"/>
      <c r="H29" s="103" t="s">
        <v>1022</v>
      </c>
      <c r="I29" s="103" t="s">
        <v>1022</v>
      </c>
      <c r="J29" s="104"/>
      <c r="K29" s="462">
        <f t="shared" si="0"/>
        <v>0</v>
      </c>
      <c r="M29" s="106"/>
    </row>
    <row r="30" spans="1:20" s="105" customFormat="1" ht="15.75">
      <c r="A30" s="441"/>
      <c r="B30" s="444" t="s">
        <v>148</v>
      </c>
      <c r="C30" s="113">
        <v>3239</v>
      </c>
      <c r="D30" s="103" t="s">
        <v>1022</v>
      </c>
      <c r="E30" s="103"/>
      <c r="F30" s="103" t="s">
        <v>1022</v>
      </c>
      <c r="G30" s="103" t="s">
        <v>1022</v>
      </c>
      <c r="H30" s="103" t="s">
        <v>1022</v>
      </c>
      <c r="I30" s="103"/>
      <c r="J30" s="104"/>
      <c r="K30" s="462">
        <f>SUM(D30:J30)</f>
        <v>0</v>
      </c>
      <c r="M30" s="106"/>
    </row>
    <row r="31" spans="1:20" s="105" customFormat="1" ht="15.75" hidden="1">
      <c r="A31" s="441"/>
      <c r="B31" s="444"/>
      <c r="C31" s="113"/>
      <c r="D31" s="103"/>
      <c r="E31" s="103"/>
      <c r="F31" s="103"/>
      <c r="G31" s="104"/>
      <c r="H31" s="103"/>
      <c r="I31" s="103"/>
      <c r="J31" s="104"/>
      <c r="K31" s="462"/>
      <c r="M31" s="106"/>
    </row>
    <row r="32" spans="1:20" s="105" customFormat="1" ht="21">
      <c r="A32" s="441"/>
      <c r="B32" s="443" t="s">
        <v>982</v>
      </c>
      <c r="C32" s="113">
        <v>3216</v>
      </c>
      <c r="D32" s="104"/>
      <c r="E32" s="104"/>
      <c r="F32" s="103" t="s">
        <v>1022</v>
      </c>
      <c r="G32" s="104"/>
      <c r="H32" s="104"/>
      <c r="I32" s="104"/>
      <c r="J32" s="104"/>
      <c r="K32" s="462">
        <f t="shared" si="0"/>
        <v>0</v>
      </c>
      <c r="M32" s="106"/>
    </row>
    <row r="33" spans="1:13" s="105" customFormat="1" ht="15.75">
      <c r="A33" s="441"/>
      <c r="B33" s="443" t="s">
        <v>983</v>
      </c>
      <c r="C33" s="113">
        <v>3240</v>
      </c>
      <c r="D33" s="104">
        <f>SUM(D34:D36)</f>
        <v>0</v>
      </c>
      <c r="E33" s="104">
        <f t="shared" ref="E33:I33" si="2">SUM(E34:E36)</f>
        <v>0</v>
      </c>
      <c r="F33" s="104">
        <f t="shared" si="2"/>
        <v>0</v>
      </c>
      <c r="G33" s="104">
        <f t="shared" si="2"/>
        <v>0</v>
      </c>
      <c r="H33" s="104">
        <f t="shared" si="2"/>
        <v>0</v>
      </c>
      <c r="I33" s="104">
        <f t="shared" si="2"/>
        <v>0</v>
      </c>
      <c r="J33" s="104"/>
      <c r="K33" s="462">
        <f t="shared" si="0"/>
        <v>0</v>
      </c>
      <c r="M33" s="106"/>
    </row>
    <row r="34" spans="1:13" s="105" customFormat="1" ht="15.75">
      <c r="A34" s="441"/>
      <c r="B34" s="460" t="s">
        <v>207</v>
      </c>
      <c r="C34" s="226"/>
      <c r="D34" s="108"/>
      <c r="E34" s="108"/>
      <c r="F34" s="108"/>
      <c r="G34" s="108"/>
      <c r="H34" s="108"/>
      <c r="I34" s="108"/>
      <c r="J34" s="108"/>
      <c r="K34" s="463">
        <f t="shared" si="0"/>
        <v>0</v>
      </c>
      <c r="M34" s="106"/>
    </row>
    <row r="35" spans="1:13" s="105" customFormat="1" ht="31.5">
      <c r="A35" s="441"/>
      <c r="B35" s="444" t="s">
        <v>787</v>
      </c>
      <c r="C35" s="113">
        <v>3245</v>
      </c>
      <c r="D35" s="103" t="s">
        <v>1022</v>
      </c>
      <c r="E35" s="103" t="s">
        <v>1022</v>
      </c>
      <c r="F35" s="103" t="s">
        <v>1022</v>
      </c>
      <c r="G35" s="104"/>
      <c r="H35" s="103" t="s">
        <v>1022</v>
      </c>
      <c r="I35" s="104"/>
      <c r="J35" s="104"/>
      <c r="K35" s="462">
        <f t="shared" si="0"/>
        <v>0</v>
      </c>
      <c r="M35" s="106"/>
    </row>
    <row r="36" spans="1:13" s="105" customFormat="1" ht="15.75">
      <c r="A36" s="441"/>
      <c r="B36" s="444" t="s">
        <v>148</v>
      </c>
      <c r="C36" s="113">
        <v>3249</v>
      </c>
      <c r="D36" s="104"/>
      <c r="E36" s="104"/>
      <c r="F36" s="103" t="s">
        <v>1022</v>
      </c>
      <c r="G36" s="104"/>
      <c r="H36" s="104"/>
      <c r="I36" s="104"/>
      <c r="J36" s="104"/>
      <c r="K36" s="462">
        <f t="shared" si="0"/>
        <v>0</v>
      </c>
      <c r="M36" s="106"/>
    </row>
    <row r="37" spans="1:13" s="105" customFormat="1" ht="15.75" hidden="1">
      <c r="A37" s="441"/>
      <c r="B37" s="444"/>
      <c r="C37" s="113"/>
      <c r="D37" s="104"/>
      <c r="E37" s="104"/>
      <c r="F37" s="104"/>
      <c r="G37" s="104"/>
      <c r="H37" s="104"/>
      <c r="I37" s="104"/>
      <c r="J37" s="104"/>
      <c r="K37" s="462">
        <f t="shared" si="0"/>
        <v>0</v>
      </c>
      <c r="M37" s="106"/>
    </row>
    <row r="38" spans="1:13" s="105" customFormat="1" ht="15.75" hidden="1">
      <c r="A38" s="441"/>
      <c r="B38" s="444"/>
      <c r="C38" s="113"/>
      <c r="D38" s="104"/>
      <c r="E38" s="104"/>
      <c r="F38" s="104"/>
      <c r="G38" s="104"/>
      <c r="H38" s="104"/>
      <c r="I38" s="104"/>
      <c r="J38" s="104"/>
      <c r="K38" s="462">
        <f t="shared" si="0"/>
        <v>0</v>
      </c>
      <c r="M38" s="106"/>
    </row>
    <row r="39" spans="1:13" s="452" customFormat="1" ht="15.75">
      <c r="A39" s="456"/>
      <c r="B39" s="445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"" &amp; YEAR('Общие сведения'!$D$2)-1 &amp; " г."</f>
        <v>На 31 марта 2025 г.</v>
      </c>
      <c r="C39" s="446">
        <v>3250</v>
      </c>
      <c r="D39" s="457">
        <f>D19+D23+D32+D33</f>
        <v>0</v>
      </c>
      <c r="E39" s="457">
        <f>E19+E23+E32+E33</f>
        <v>0</v>
      </c>
      <c r="F39" s="531">
        <f>F23+F33</f>
        <v>0</v>
      </c>
      <c r="G39" s="457">
        <f>G19+G23+G32+G33</f>
        <v>0</v>
      </c>
      <c r="H39" s="457">
        <f>H19+H23+H32+H33</f>
        <v>0</v>
      </c>
      <c r="I39" s="457">
        <f>I19+I20+I22+I23+I32+I33</f>
        <v>0</v>
      </c>
      <c r="J39" s="457"/>
      <c r="K39" s="458">
        <f t="shared" si="0"/>
        <v>0</v>
      </c>
      <c r="M39" s="453"/>
    </row>
    <row r="40" spans="1:13" ht="15.75">
      <c r="B40" s="90"/>
      <c r="C40" s="88"/>
      <c r="D40" s="52"/>
      <c r="E40" s="109"/>
      <c r="F40" s="110"/>
      <c r="G40" s="110"/>
      <c r="H40" s="110"/>
      <c r="I40" s="110"/>
      <c r="J40" s="110"/>
      <c r="K40" s="52"/>
      <c r="M40" s="106"/>
    </row>
    <row r="41" spans="1:13" ht="15" customHeight="1">
      <c r="B41" s="90"/>
      <c r="C41" s="88"/>
      <c r="D41" s="109"/>
      <c r="E41" s="917" t="s">
        <v>206</v>
      </c>
      <c r="F41" s="917"/>
      <c r="G41" s="917"/>
      <c r="H41" s="917"/>
      <c r="I41" s="917"/>
      <c r="J41" s="917"/>
      <c r="K41" s="917"/>
      <c r="M41" s="106"/>
    </row>
    <row r="42" spans="1:13" ht="57" customHeight="1">
      <c r="A42" s="11" t="s">
        <v>16</v>
      </c>
      <c r="B42" s="98" t="s">
        <v>0</v>
      </c>
      <c r="C42" s="98" t="s">
        <v>871</v>
      </c>
      <c r="D42" s="99" t="s">
        <v>204</v>
      </c>
      <c r="E42" s="100" t="s">
        <v>891</v>
      </c>
      <c r="F42" s="99" t="s">
        <v>892</v>
      </c>
      <c r="G42" s="101" t="s">
        <v>893</v>
      </c>
      <c r="H42" s="99" t="s">
        <v>64</v>
      </c>
      <c r="I42" s="101" t="s">
        <v>66</v>
      </c>
      <c r="J42" s="99"/>
      <c r="K42" s="102" t="s">
        <v>205</v>
      </c>
      <c r="M42" s="106"/>
    </row>
    <row r="43" spans="1:13" s="459" customFormat="1" ht="15.75">
      <c r="A43" s="447"/>
      <c r="B43" s="448" t="str">
        <f>"На 31 декабря " &amp; YEAR('Общие сведения'!$D$2)-1 &amp; " г."</f>
        <v>На 31 декабря 2025 г.</v>
      </c>
      <c r="C43" s="449">
        <v>3200</v>
      </c>
      <c r="D43" s="450"/>
      <c r="E43" s="450"/>
      <c r="F43" s="112" t="s">
        <v>1022</v>
      </c>
      <c r="G43" s="450"/>
      <c r="H43" s="450"/>
      <c r="I43" s="450"/>
      <c r="J43" s="450"/>
      <c r="K43" s="451">
        <f>SUM(D43:J43)</f>
        <v>0</v>
      </c>
      <c r="M43" s="453"/>
    </row>
    <row r="44" spans="1:13" s="105" customFormat="1" ht="31.5">
      <c r="A44" s="441"/>
      <c r="B44" s="443" t="s">
        <v>1023</v>
      </c>
      <c r="C44" s="113">
        <v>3210</v>
      </c>
      <c r="D44" s="103" t="s">
        <v>1022</v>
      </c>
      <c r="E44" s="103" t="s">
        <v>1022</v>
      </c>
      <c r="F44" s="103" t="s">
        <v>1022</v>
      </c>
      <c r="G44" s="104"/>
      <c r="H44" s="104"/>
      <c r="I44" s="104"/>
      <c r="J44" s="104"/>
      <c r="K44" s="462">
        <f t="shared" ref="K44:K45" si="3">SUM(D44:J44)</f>
        <v>0</v>
      </c>
      <c r="M44" s="106"/>
    </row>
    <row r="45" spans="1:13" s="105" customFormat="1" ht="15.75">
      <c r="A45" s="441"/>
      <c r="B45" s="443" t="s">
        <v>1024</v>
      </c>
      <c r="C45" s="113">
        <v>3220</v>
      </c>
      <c r="D45" s="103" t="s">
        <v>1022</v>
      </c>
      <c r="E45" s="103" t="s">
        <v>1022</v>
      </c>
      <c r="F45" s="103" t="s">
        <v>1022</v>
      </c>
      <c r="G45" s="104"/>
      <c r="H45" s="104"/>
      <c r="I45" s="104"/>
      <c r="J45" s="104"/>
      <c r="K45" s="462">
        <f t="shared" si="3"/>
        <v>0</v>
      </c>
    </row>
    <row r="46" spans="1:13" s="105" customFormat="1" ht="15.75" hidden="1">
      <c r="A46" s="441"/>
      <c r="B46" s="443"/>
      <c r="C46" s="113"/>
      <c r="D46" s="104"/>
      <c r="E46" s="104"/>
      <c r="F46" s="103"/>
      <c r="G46" s="104"/>
      <c r="H46" s="104"/>
      <c r="I46" s="104"/>
      <c r="J46" s="104"/>
      <c r="K46" s="462"/>
    </row>
    <row r="47" spans="1:13" s="105" customFormat="1" ht="15.75" hidden="1">
      <c r="A47" s="441"/>
      <c r="B47" s="443"/>
      <c r="C47" s="113"/>
      <c r="D47" s="104"/>
      <c r="E47" s="104"/>
      <c r="F47" s="103"/>
      <c r="G47" s="104"/>
      <c r="H47" s="104"/>
      <c r="I47" s="104"/>
      <c r="J47" s="104"/>
      <c r="K47" s="462"/>
    </row>
    <row r="48" spans="1:13" s="452" customFormat="1" ht="21">
      <c r="A48" s="454"/>
      <c r="B48" s="455" t="str">
        <f>"На 31 декабря " &amp; YEAR('Общие сведения'!$D$2)-1 &amp; " г.
после корректировки"</f>
        <v>На 31 декабря 2025 г.
после корректировки</v>
      </c>
      <c r="C48" s="811">
        <v>3201</v>
      </c>
      <c r="D48" s="530"/>
      <c r="E48" s="530"/>
      <c r="F48" s="104" t="s">
        <v>1022</v>
      </c>
      <c r="G48" s="530"/>
      <c r="H48" s="530"/>
      <c r="I48" s="530"/>
      <c r="J48" s="530"/>
      <c r="K48" s="461">
        <f t="shared" ref="K48:K52" si="4">SUM(D48:J48)</f>
        <v>0</v>
      </c>
    </row>
    <row r="49" spans="1:11" s="105" customFormat="1" ht="35.1" customHeight="1">
      <c r="A49" s="442"/>
      <c r="B49" s="786" t="str">
        <f>"за " &amp; IF(MONTH('Общие сведения'!D2)=3, "январь - март " &amp; YEAR('Общие сведения'!D2) &amp; " года
Чистая прибыль (убыток)
", IF(MONTH('Общие сведения'!D2)=6, "январь - июнь " &amp; YEAR('Общие сведения'!D2) &amp; " года
Чистая прибыль (убыток)
", IF(MONTH('Общие сведения'!D2)=9, "январь - сентябрь " &amp; YEAR('Общие сведения'!D2) &amp; " года
Чистая прибыль (убыток)
", YEAR('Общие сведения'!D2) &amp; " год
Чистая прибыль (убыток)
")))</f>
        <v xml:space="preserve">за январь - март 2026 года
Чистая прибыль (убыток)
</v>
      </c>
      <c r="C49" s="812">
        <v>3311</v>
      </c>
      <c r="D49" s="590" t="s">
        <v>1022</v>
      </c>
      <c r="E49" s="590" t="s">
        <v>1022</v>
      </c>
      <c r="F49" s="590" t="s">
        <v>1022</v>
      </c>
      <c r="G49" s="590" t="s">
        <v>1022</v>
      </c>
      <c r="H49" s="590" t="s">
        <v>1022</v>
      </c>
      <c r="I49" s="591"/>
      <c r="J49" s="591"/>
      <c r="K49" s="592">
        <f t="shared" si="4"/>
        <v>0</v>
      </c>
    </row>
    <row r="50" spans="1:11" s="105" customFormat="1" ht="21">
      <c r="A50" s="441"/>
      <c r="B50" s="443" t="s">
        <v>976</v>
      </c>
      <c r="C50" s="113">
        <v>3312</v>
      </c>
      <c r="D50" s="103" t="s">
        <v>1022</v>
      </c>
      <c r="E50" s="103" t="s">
        <v>1022</v>
      </c>
      <c r="F50" s="103" t="s">
        <v>1022</v>
      </c>
      <c r="G50" s="103" t="s">
        <v>1022</v>
      </c>
      <c r="H50" s="103" t="s">
        <v>1022</v>
      </c>
      <c r="I50" s="103" t="s">
        <v>1022</v>
      </c>
      <c r="J50" s="104"/>
      <c r="K50" s="462">
        <f t="shared" si="4"/>
        <v>0</v>
      </c>
    </row>
    <row r="51" spans="1:11" s="105" customFormat="1" ht="15.75">
      <c r="A51" s="441"/>
      <c r="B51" s="443" t="s">
        <v>977</v>
      </c>
      <c r="C51" s="113">
        <v>3327</v>
      </c>
      <c r="D51" s="103" t="s">
        <v>1022</v>
      </c>
      <c r="E51" s="103" t="s">
        <v>1022</v>
      </c>
      <c r="F51" s="103" t="s">
        <v>1022</v>
      </c>
      <c r="G51" s="103" t="s">
        <v>1022</v>
      </c>
      <c r="H51" s="103" t="s">
        <v>1022</v>
      </c>
      <c r="I51" s="104"/>
      <c r="J51" s="104"/>
      <c r="K51" s="462">
        <f t="shared" si="4"/>
        <v>0</v>
      </c>
    </row>
    <row r="52" spans="1:11" s="105" customFormat="1" ht="42">
      <c r="A52" s="441"/>
      <c r="B52" s="443" t="s">
        <v>978</v>
      </c>
      <c r="C52" s="113">
        <v>3330</v>
      </c>
      <c r="D52" s="104">
        <f t="shared" ref="D52:I52" si="5">SUM(D53:D59)</f>
        <v>0</v>
      </c>
      <c r="E52" s="104">
        <f t="shared" si="5"/>
        <v>0</v>
      </c>
      <c r="F52" s="104">
        <f t="shared" si="5"/>
        <v>0</v>
      </c>
      <c r="G52" s="104">
        <f t="shared" si="5"/>
        <v>0</v>
      </c>
      <c r="H52" s="104">
        <f t="shared" si="5"/>
        <v>0</v>
      </c>
      <c r="I52" s="104">
        <f t="shared" si="5"/>
        <v>0</v>
      </c>
      <c r="J52" s="104"/>
      <c r="K52" s="462">
        <f t="shared" si="4"/>
        <v>0</v>
      </c>
    </row>
    <row r="53" spans="1:11" s="105" customFormat="1" ht="15.75">
      <c r="A53" s="441"/>
      <c r="B53" s="460" t="s">
        <v>207</v>
      </c>
      <c r="C53" s="226"/>
      <c r="D53" s="108"/>
      <c r="E53" s="108"/>
      <c r="F53" s="108"/>
      <c r="G53" s="108"/>
      <c r="H53" s="108"/>
      <c r="I53" s="108"/>
      <c r="J53" s="108"/>
      <c r="K53" s="463"/>
    </row>
    <row r="54" spans="1:11" s="105" customFormat="1" ht="15.75">
      <c r="A54" s="441"/>
      <c r="B54" s="444" t="s">
        <v>1059</v>
      </c>
      <c r="C54" s="113">
        <v>3331</v>
      </c>
      <c r="D54" s="104"/>
      <c r="E54" s="103" t="s">
        <v>1022</v>
      </c>
      <c r="F54" s="103" t="s">
        <v>1022</v>
      </c>
      <c r="G54" s="104"/>
      <c r="H54" s="103" t="s">
        <v>1022</v>
      </c>
      <c r="I54" s="103" t="s">
        <v>1022</v>
      </c>
      <c r="J54" s="104"/>
      <c r="K54" s="462">
        <f t="shared" ref="K54:K76" si="6">SUM(D54:J54)</f>
        <v>0</v>
      </c>
    </row>
    <row r="55" spans="1:11" s="105" customFormat="1" ht="31.5">
      <c r="A55" s="441"/>
      <c r="B55" s="444" t="s">
        <v>979</v>
      </c>
      <c r="C55" s="113">
        <v>3332</v>
      </c>
      <c r="D55" s="104"/>
      <c r="E55" s="103" t="s">
        <v>1022</v>
      </c>
      <c r="F55" s="103" t="s">
        <v>1022</v>
      </c>
      <c r="G55" s="104"/>
      <c r="H55" s="103" t="s">
        <v>1022</v>
      </c>
      <c r="I55" s="104"/>
      <c r="J55" s="104"/>
      <c r="K55" s="462">
        <f t="shared" si="6"/>
        <v>0</v>
      </c>
    </row>
    <row r="56" spans="1:11" s="105" customFormat="1" ht="21">
      <c r="A56" s="441"/>
      <c r="B56" s="444" t="s">
        <v>980</v>
      </c>
      <c r="C56" s="113">
        <v>3333</v>
      </c>
      <c r="D56" s="103" t="s">
        <v>1022</v>
      </c>
      <c r="E56" s="104"/>
      <c r="F56" s="103" t="s">
        <v>1022</v>
      </c>
      <c r="G56" s="103" t="s">
        <v>1022</v>
      </c>
      <c r="H56" s="103" t="s">
        <v>1022</v>
      </c>
      <c r="I56" s="103" t="s">
        <v>1022</v>
      </c>
      <c r="J56" s="104"/>
      <c r="K56" s="462">
        <f t="shared" si="6"/>
        <v>0</v>
      </c>
    </row>
    <row r="57" spans="1:11" s="105" customFormat="1" ht="21">
      <c r="A57" s="441"/>
      <c r="B57" s="444" t="s">
        <v>981</v>
      </c>
      <c r="C57" s="113">
        <v>3334</v>
      </c>
      <c r="D57" s="104"/>
      <c r="E57" s="104"/>
      <c r="F57" s="103" t="s">
        <v>1022</v>
      </c>
      <c r="G57" s="103" t="s">
        <v>1022</v>
      </c>
      <c r="H57" s="103" t="s">
        <v>1022</v>
      </c>
      <c r="I57" s="103" t="s">
        <v>1022</v>
      </c>
      <c r="J57" s="104"/>
      <c r="K57" s="462">
        <f t="shared" si="6"/>
        <v>0</v>
      </c>
    </row>
    <row r="58" spans="1:11" s="105" customFormat="1" ht="15.75">
      <c r="A58" s="441"/>
      <c r="B58" s="444" t="s">
        <v>984</v>
      </c>
      <c r="C58" s="113">
        <v>3335</v>
      </c>
      <c r="D58" s="103" t="s">
        <v>1022</v>
      </c>
      <c r="E58" s="103" t="s">
        <v>1022</v>
      </c>
      <c r="F58" s="103" t="s">
        <v>1022</v>
      </c>
      <c r="G58" s="104"/>
      <c r="H58" s="103" t="s">
        <v>1022</v>
      </c>
      <c r="I58" s="103" t="s">
        <v>1022</v>
      </c>
      <c r="J58" s="104"/>
      <c r="K58" s="462">
        <f t="shared" si="6"/>
        <v>0</v>
      </c>
    </row>
    <row r="59" spans="1:11" s="105" customFormat="1" ht="15.75">
      <c r="A59" s="441"/>
      <c r="B59" s="444" t="s">
        <v>148</v>
      </c>
      <c r="C59" s="593">
        <v>3339</v>
      </c>
      <c r="D59" s="103" t="s">
        <v>1022</v>
      </c>
      <c r="E59" s="103"/>
      <c r="F59" s="103" t="s">
        <v>1022</v>
      </c>
      <c r="G59" s="103" t="s">
        <v>1022</v>
      </c>
      <c r="H59" s="103" t="s">
        <v>1022</v>
      </c>
      <c r="I59" s="103"/>
      <c r="J59" s="104"/>
      <c r="K59" s="462">
        <f>SUM(D59:J59)</f>
        <v>0</v>
      </c>
    </row>
    <row r="60" spans="1:11" s="105" customFormat="1" ht="15.75" hidden="1">
      <c r="A60" s="441"/>
      <c r="B60" s="444"/>
      <c r="C60" s="113"/>
      <c r="D60" s="103"/>
      <c r="E60" s="103"/>
      <c r="F60" s="103"/>
      <c r="G60" s="104"/>
      <c r="H60" s="103"/>
      <c r="I60" s="103"/>
      <c r="J60" s="104"/>
      <c r="K60" s="462"/>
    </row>
    <row r="61" spans="1:11" s="105" customFormat="1" ht="15.75" hidden="1">
      <c r="A61" s="441"/>
      <c r="B61" s="444"/>
      <c r="C61" s="113"/>
      <c r="D61" s="103"/>
      <c r="E61" s="103"/>
      <c r="F61" s="103"/>
      <c r="G61" s="104"/>
      <c r="H61" s="103"/>
      <c r="I61" s="103"/>
      <c r="J61" s="104"/>
      <c r="K61" s="462"/>
    </row>
    <row r="62" spans="1:11" s="105" customFormat="1" ht="15.75" hidden="1">
      <c r="A62" s="441"/>
      <c r="B62" s="444"/>
      <c r="C62" s="113"/>
      <c r="D62" s="103"/>
      <c r="E62" s="103"/>
      <c r="F62" s="103"/>
      <c r="G62" s="104"/>
      <c r="H62" s="103"/>
      <c r="I62" s="103"/>
      <c r="J62" s="104"/>
      <c r="K62" s="462"/>
    </row>
    <row r="63" spans="1:11" s="105" customFormat="1" ht="15.75" hidden="1">
      <c r="A63" s="441"/>
      <c r="B63" s="444"/>
      <c r="C63" s="113"/>
      <c r="D63" s="103"/>
      <c r="E63" s="103"/>
      <c r="F63" s="103"/>
      <c r="G63" s="104"/>
      <c r="H63" s="103"/>
      <c r="I63" s="103"/>
      <c r="J63" s="104"/>
      <c r="K63" s="462"/>
    </row>
    <row r="64" spans="1:11" s="105" customFormat="1" ht="15.75" hidden="1">
      <c r="A64" s="441"/>
      <c r="B64" s="444"/>
      <c r="C64" s="113"/>
      <c r="D64" s="103"/>
      <c r="E64" s="103"/>
      <c r="F64" s="103"/>
      <c r="G64" s="104"/>
      <c r="H64" s="103"/>
      <c r="I64" s="103"/>
      <c r="J64" s="104"/>
      <c r="K64" s="462"/>
    </row>
    <row r="65" spans="1:11" s="105" customFormat="1" ht="15.75" hidden="1">
      <c r="A65" s="441"/>
      <c r="B65" s="444"/>
      <c r="C65" s="113"/>
      <c r="D65" s="103"/>
      <c r="E65" s="103"/>
      <c r="F65" s="103"/>
      <c r="G65" s="104"/>
      <c r="H65" s="103"/>
      <c r="I65" s="103"/>
      <c r="J65" s="104"/>
      <c r="K65" s="462"/>
    </row>
    <row r="66" spans="1:11" s="105" customFormat="1" ht="15.75" hidden="1">
      <c r="A66" s="441"/>
      <c r="B66" s="444"/>
      <c r="C66" s="113"/>
      <c r="D66" s="103"/>
      <c r="E66" s="103"/>
      <c r="F66" s="103"/>
      <c r="G66" s="104"/>
      <c r="H66" s="103"/>
      <c r="I66" s="103"/>
      <c r="J66" s="104"/>
      <c r="K66" s="462"/>
    </row>
    <row r="67" spans="1:11" s="105" customFormat="1" ht="15.75" hidden="1">
      <c r="A67" s="441"/>
      <c r="B67" s="444"/>
      <c r="C67" s="113"/>
      <c r="D67" s="103"/>
      <c r="E67" s="103"/>
      <c r="F67" s="103"/>
      <c r="G67" s="104"/>
      <c r="H67" s="103"/>
      <c r="I67" s="103"/>
      <c r="J67" s="104"/>
      <c r="K67" s="462"/>
    </row>
    <row r="68" spans="1:11" s="105" customFormat="1" ht="15.75" hidden="1">
      <c r="A68" s="441"/>
      <c r="B68" s="444"/>
      <c r="C68" s="113"/>
      <c r="D68" s="103"/>
      <c r="E68" s="103"/>
      <c r="F68" s="103"/>
      <c r="G68" s="104"/>
      <c r="H68" s="103"/>
      <c r="I68" s="103"/>
      <c r="J68" s="104"/>
      <c r="K68" s="462"/>
    </row>
    <row r="69" spans="1:11" s="105" customFormat="1" ht="21">
      <c r="A69" s="441"/>
      <c r="B69" s="443" t="s">
        <v>982</v>
      </c>
      <c r="C69" s="113">
        <v>3316</v>
      </c>
      <c r="D69" s="104"/>
      <c r="E69" s="104"/>
      <c r="F69" s="103" t="s">
        <v>1022</v>
      </c>
      <c r="G69" s="104"/>
      <c r="H69" s="104"/>
      <c r="I69" s="104"/>
      <c r="J69" s="104"/>
      <c r="K69" s="462">
        <f t="shared" si="6"/>
        <v>0</v>
      </c>
    </row>
    <row r="70" spans="1:11" s="105" customFormat="1" ht="15.75">
      <c r="A70" s="441"/>
      <c r="B70" s="443" t="s">
        <v>983</v>
      </c>
      <c r="C70" s="113">
        <v>3340</v>
      </c>
      <c r="D70" s="104">
        <f>SUM(D71:D73)</f>
        <v>0</v>
      </c>
      <c r="E70" s="104">
        <f t="shared" ref="E70" si="7">SUM(E71:E73)</f>
        <v>0</v>
      </c>
      <c r="F70" s="104">
        <f t="shared" ref="F70" si="8">SUM(F71:F73)</f>
        <v>0</v>
      </c>
      <c r="G70" s="104">
        <f t="shared" ref="G70" si="9">SUM(G71:G73)</f>
        <v>0</v>
      </c>
      <c r="H70" s="104">
        <f t="shared" ref="H70" si="10">SUM(H71:H73)</f>
        <v>0</v>
      </c>
      <c r="I70" s="104">
        <f t="shared" ref="I70" si="11">SUM(I71:I73)</f>
        <v>0</v>
      </c>
      <c r="J70" s="104"/>
      <c r="K70" s="462">
        <f t="shared" si="6"/>
        <v>0</v>
      </c>
    </row>
    <row r="71" spans="1:11" s="105" customFormat="1" ht="15.75">
      <c r="A71" s="441"/>
      <c r="B71" s="460" t="s">
        <v>207</v>
      </c>
      <c r="C71" s="226"/>
      <c r="D71" s="108"/>
      <c r="E71" s="108"/>
      <c r="F71" s="108"/>
      <c r="G71" s="108"/>
      <c r="H71" s="108"/>
      <c r="I71" s="108"/>
      <c r="J71" s="108"/>
      <c r="K71" s="463">
        <f t="shared" si="6"/>
        <v>0</v>
      </c>
    </row>
    <row r="72" spans="1:11" s="105" customFormat="1" ht="31.5">
      <c r="A72" s="441"/>
      <c r="B72" s="444" t="s">
        <v>787</v>
      </c>
      <c r="C72" s="113">
        <v>3345</v>
      </c>
      <c r="D72" s="103" t="s">
        <v>1022</v>
      </c>
      <c r="E72" s="103" t="s">
        <v>1022</v>
      </c>
      <c r="F72" s="103" t="s">
        <v>1022</v>
      </c>
      <c r="G72" s="104"/>
      <c r="H72" s="103" t="s">
        <v>1022</v>
      </c>
      <c r="I72" s="104"/>
      <c r="J72" s="104"/>
      <c r="K72" s="462">
        <f t="shared" si="6"/>
        <v>0</v>
      </c>
    </row>
    <row r="73" spans="1:11" s="105" customFormat="1" ht="15.75">
      <c r="A73" s="441"/>
      <c r="B73" s="444" t="s">
        <v>148</v>
      </c>
      <c r="C73" s="113">
        <v>3349</v>
      </c>
      <c r="D73" s="104"/>
      <c r="E73" s="104"/>
      <c r="F73" s="103" t="s">
        <v>1022</v>
      </c>
      <c r="G73" s="104"/>
      <c r="H73" s="104"/>
      <c r="I73" s="104"/>
      <c r="J73" s="104"/>
      <c r="K73" s="462">
        <f t="shared" si="6"/>
        <v>0</v>
      </c>
    </row>
    <row r="74" spans="1:11" s="107" customFormat="1" ht="15.75" hidden="1">
      <c r="A74" s="441"/>
      <c r="B74" s="444"/>
      <c r="C74" s="113"/>
      <c r="D74" s="104"/>
      <c r="E74" s="104"/>
      <c r="F74" s="104"/>
      <c r="G74" s="104"/>
      <c r="H74" s="104"/>
      <c r="I74" s="104"/>
      <c r="J74" s="104"/>
      <c r="K74" s="462">
        <f t="shared" si="6"/>
        <v>0</v>
      </c>
    </row>
    <row r="75" spans="1:11" s="105" customFormat="1" ht="15.75" hidden="1">
      <c r="A75" s="441"/>
      <c r="B75" s="444"/>
      <c r="C75" s="113"/>
      <c r="D75" s="104"/>
      <c r="E75" s="104"/>
      <c r="F75" s="104"/>
      <c r="G75" s="104"/>
      <c r="H75" s="104"/>
      <c r="I75" s="104"/>
      <c r="J75" s="104"/>
      <c r="K75" s="462">
        <f t="shared" si="6"/>
        <v>0</v>
      </c>
    </row>
    <row r="76" spans="1:11" s="452" customFormat="1" ht="15.75">
      <c r="A76" s="456"/>
      <c r="B76" s="445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"" &amp; YEAR('Общие сведения'!$D$2) &amp; " г."</f>
        <v>На 31 марта 2026 г.</v>
      </c>
      <c r="C76" s="446">
        <v>3300</v>
      </c>
      <c r="D76" s="457">
        <f>D48+D52+D69+D70</f>
        <v>0</v>
      </c>
      <c r="E76" s="457">
        <f>E48+E52+E69+E70</f>
        <v>0</v>
      </c>
      <c r="F76" s="531">
        <f>F52+F70</f>
        <v>0</v>
      </c>
      <c r="G76" s="457">
        <f>G48+G52+G69+G70</f>
        <v>0</v>
      </c>
      <c r="H76" s="457">
        <f>H48+H52+H69+H70</f>
        <v>0</v>
      </c>
      <c r="I76" s="457">
        <f>I48+I49+I51+I52+I69+I70</f>
        <v>0</v>
      </c>
      <c r="J76" s="457"/>
      <c r="K76" s="458">
        <f t="shared" si="6"/>
        <v>0</v>
      </c>
    </row>
    <row r="77" spans="1:11" ht="24.95" customHeight="1">
      <c r="B77" s="90"/>
      <c r="C77" s="88"/>
      <c r="D77" s="109"/>
      <c r="E77" s="109"/>
      <c r="F77" s="110"/>
      <c r="G77" s="110"/>
      <c r="H77" s="110"/>
      <c r="I77" s="110"/>
      <c r="J77" s="110"/>
      <c r="K77" s="52"/>
    </row>
    <row r="78" spans="1:11" s="394" customFormat="1" ht="12.75">
      <c r="A78" s="390"/>
      <c r="B78" s="384" t="str">
        <f>'Общие сведения'!B34</f>
        <v>Наим. должности (Генеральный директор, Руководитель, ... )</v>
      </c>
      <c r="C78" s="392"/>
      <c r="D78" s="386"/>
      <c r="E78" s="391"/>
      <c r="F78" s="386"/>
      <c r="G78" s="393"/>
      <c r="H78" s="900">
        <f>'Общие сведения'!D34</f>
        <v>0</v>
      </c>
      <c r="I78" s="900"/>
      <c r="J78" s="900"/>
      <c r="K78" s="900"/>
    </row>
    <row r="79" spans="1:11" s="394" customFormat="1" ht="12.75">
      <c r="A79" s="390"/>
      <c r="B79" s="920" t="s">
        <v>956</v>
      </c>
      <c r="C79" s="920"/>
      <c r="D79" s="386"/>
      <c r="E79" s="921" t="s">
        <v>957</v>
      </c>
      <c r="F79" s="921"/>
      <c r="G79" s="393"/>
      <c r="H79" s="899" t="s">
        <v>958</v>
      </c>
      <c r="I79" s="899"/>
      <c r="J79" s="899"/>
      <c r="K79" s="899"/>
    </row>
    <row r="80" spans="1:11" s="394" customFormat="1" ht="12.75">
      <c r="A80" s="390"/>
      <c r="B80" s="413"/>
      <c r="C80" s="392"/>
      <c r="D80" s="386"/>
      <c r="E80" s="386"/>
      <c r="F80" s="386"/>
      <c r="G80" s="393"/>
    </row>
    <row r="81" spans="1:7" s="400" customFormat="1" ht="11.25" customHeight="1">
      <c r="A81" s="395"/>
      <c r="B81" s="396"/>
      <c r="C81" s="397"/>
      <c r="D81" s="398"/>
      <c r="E81" s="398"/>
      <c r="G81" s="399"/>
    </row>
    <row r="82" spans="1:7" s="406" customFormat="1" ht="15" customHeight="1">
      <c r="A82" s="401"/>
      <c r="B82" s="919" t="s">
        <v>1140</v>
      </c>
      <c r="C82" s="919"/>
      <c r="D82" s="464"/>
      <c r="E82" s="464"/>
      <c r="F82" s="400"/>
      <c r="G82" s="405"/>
    </row>
  </sheetData>
  <mergeCells count="15">
    <mergeCell ref="B82:C82"/>
    <mergeCell ref="B79:C79"/>
    <mergeCell ref="E79:F79"/>
    <mergeCell ref="A8:G8"/>
    <mergeCell ref="A12:B12"/>
    <mergeCell ref="A1:J1"/>
    <mergeCell ref="A2:J2"/>
    <mergeCell ref="H12:J12"/>
    <mergeCell ref="E41:K41"/>
    <mergeCell ref="H79:K79"/>
    <mergeCell ref="B3:H3"/>
    <mergeCell ref="H6:J6"/>
    <mergeCell ref="G7:J7"/>
    <mergeCell ref="H8:J8"/>
    <mergeCell ref="H78:K78"/>
  </mergeCells>
  <pageMargins left="0.47244094488188981" right="0.15748031496062992" top="0.70866141732283472" bottom="0.59055118110236227" header="0.23622047244094491" footer="0.43307086614173229"/>
  <pageSetup paperSize="9" scale="78" fitToHeight="2" orientation="portrait" r:id="rId1"/>
  <headerFooter alignWithMargins="0"/>
  <rowBreaks count="1" manualBreakCount="1">
    <brk id="40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9" tint="-0.249977111117893"/>
  </sheetPr>
  <dimension ref="A1:L177"/>
  <sheetViews>
    <sheetView topLeftCell="A145" zoomScaleNormal="100" workbookViewId="0">
      <selection activeCell="S1" sqref="S1"/>
    </sheetView>
  </sheetViews>
  <sheetFormatPr defaultRowHeight="20.25" customHeight="1"/>
  <cols>
    <col min="1" max="1" width="27.42578125" style="85" customWidth="1"/>
    <col min="2" max="2" width="4.5703125" style="53" customWidth="1"/>
    <col min="3" max="3" width="9.42578125" style="51" customWidth="1"/>
    <col min="4" max="4" width="10.7109375" style="51" customWidth="1"/>
    <col min="5" max="5" width="10.5703125" style="51" customWidth="1"/>
    <col min="6" max="6" width="10.140625" style="51" customWidth="1"/>
    <col min="7" max="7" width="11.5703125" style="51" customWidth="1"/>
    <col min="8" max="8" width="10.5703125" style="51" hidden="1" customWidth="1"/>
    <col min="9" max="9" width="8.85546875" style="51" customWidth="1"/>
    <col min="10" max="10" width="11.5703125" style="51" customWidth="1"/>
    <col min="11" max="256" width="9.140625" style="85"/>
    <col min="257" max="257" width="27.5703125" style="85" customWidth="1"/>
    <col min="258" max="258" width="4.7109375" style="85" customWidth="1"/>
    <col min="259" max="259" width="9.85546875" style="85" customWidth="1"/>
    <col min="260" max="260" width="9.28515625" style="85" customWidth="1"/>
    <col min="261" max="261" width="10.5703125" style="85" customWidth="1"/>
    <col min="262" max="262" width="10.140625" style="85" customWidth="1"/>
    <col min="263" max="263" width="10.5703125" style="85" customWidth="1"/>
    <col min="264" max="264" width="0" style="85" hidden="1" customWidth="1"/>
    <col min="265" max="265" width="8.85546875" style="85" customWidth="1"/>
    <col min="266" max="266" width="12" style="85" customWidth="1"/>
    <col min="267" max="512" width="9.140625" style="85"/>
    <col min="513" max="513" width="27.5703125" style="85" customWidth="1"/>
    <col min="514" max="514" width="4.7109375" style="85" customWidth="1"/>
    <col min="515" max="515" width="9.85546875" style="85" customWidth="1"/>
    <col min="516" max="516" width="9.28515625" style="85" customWidth="1"/>
    <col min="517" max="517" width="10.5703125" style="85" customWidth="1"/>
    <col min="518" max="518" width="10.140625" style="85" customWidth="1"/>
    <col min="519" max="519" width="10.5703125" style="85" customWidth="1"/>
    <col min="520" max="520" width="0" style="85" hidden="1" customWidth="1"/>
    <col min="521" max="521" width="8.85546875" style="85" customWidth="1"/>
    <col min="522" max="522" width="12" style="85" customWidth="1"/>
    <col min="523" max="768" width="9.140625" style="85"/>
    <col min="769" max="769" width="27.5703125" style="85" customWidth="1"/>
    <col min="770" max="770" width="4.7109375" style="85" customWidth="1"/>
    <col min="771" max="771" width="9.85546875" style="85" customWidth="1"/>
    <col min="772" max="772" width="9.28515625" style="85" customWidth="1"/>
    <col min="773" max="773" width="10.5703125" style="85" customWidth="1"/>
    <col min="774" max="774" width="10.140625" style="85" customWidth="1"/>
    <col min="775" max="775" width="10.5703125" style="85" customWidth="1"/>
    <col min="776" max="776" width="0" style="85" hidden="1" customWidth="1"/>
    <col min="777" max="777" width="8.85546875" style="85" customWidth="1"/>
    <col min="778" max="778" width="12" style="85" customWidth="1"/>
    <col min="779" max="1024" width="9.140625" style="85"/>
    <col min="1025" max="1025" width="27.5703125" style="85" customWidth="1"/>
    <col min="1026" max="1026" width="4.7109375" style="85" customWidth="1"/>
    <col min="1027" max="1027" width="9.85546875" style="85" customWidth="1"/>
    <col min="1028" max="1028" width="9.28515625" style="85" customWidth="1"/>
    <col min="1029" max="1029" width="10.5703125" style="85" customWidth="1"/>
    <col min="1030" max="1030" width="10.140625" style="85" customWidth="1"/>
    <col min="1031" max="1031" width="10.5703125" style="85" customWidth="1"/>
    <col min="1032" max="1032" width="0" style="85" hidden="1" customWidth="1"/>
    <col min="1033" max="1033" width="8.85546875" style="85" customWidth="1"/>
    <col min="1034" max="1034" width="12" style="85" customWidth="1"/>
    <col min="1035" max="1280" width="9.140625" style="85"/>
    <col min="1281" max="1281" width="27.5703125" style="85" customWidth="1"/>
    <col min="1282" max="1282" width="4.7109375" style="85" customWidth="1"/>
    <col min="1283" max="1283" width="9.85546875" style="85" customWidth="1"/>
    <col min="1284" max="1284" width="9.28515625" style="85" customWidth="1"/>
    <col min="1285" max="1285" width="10.5703125" style="85" customWidth="1"/>
    <col min="1286" max="1286" width="10.140625" style="85" customWidth="1"/>
    <col min="1287" max="1287" width="10.5703125" style="85" customWidth="1"/>
    <col min="1288" max="1288" width="0" style="85" hidden="1" customWidth="1"/>
    <col min="1289" max="1289" width="8.85546875" style="85" customWidth="1"/>
    <col min="1290" max="1290" width="12" style="85" customWidth="1"/>
    <col min="1291" max="1536" width="9.140625" style="85"/>
    <col min="1537" max="1537" width="27.5703125" style="85" customWidth="1"/>
    <col min="1538" max="1538" width="4.7109375" style="85" customWidth="1"/>
    <col min="1539" max="1539" width="9.85546875" style="85" customWidth="1"/>
    <col min="1540" max="1540" width="9.28515625" style="85" customWidth="1"/>
    <col min="1541" max="1541" width="10.5703125" style="85" customWidth="1"/>
    <col min="1542" max="1542" width="10.140625" style="85" customWidth="1"/>
    <col min="1543" max="1543" width="10.5703125" style="85" customWidth="1"/>
    <col min="1544" max="1544" width="0" style="85" hidden="1" customWidth="1"/>
    <col min="1545" max="1545" width="8.85546875" style="85" customWidth="1"/>
    <col min="1546" max="1546" width="12" style="85" customWidth="1"/>
    <col min="1547" max="1792" width="9.140625" style="85"/>
    <col min="1793" max="1793" width="27.5703125" style="85" customWidth="1"/>
    <col min="1794" max="1794" width="4.7109375" style="85" customWidth="1"/>
    <col min="1795" max="1795" width="9.85546875" style="85" customWidth="1"/>
    <col min="1796" max="1796" width="9.28515625" style="85" customWidth="1"/>
    <col min="1797" max="1797" width="10.5703125" style="85" customWidth="1"/>
    <col min="1798" max="1798" width="10.140625" style="85" customWidth="1"/>
    <col min="1799" max="1799" width="10.5703125" style="85" customWidth="1"/>
    <col min="1800" max="1800" width="0" style="85" hidden="1" customWidth="1"/>
    <col min="1801" max="1801" width="8.85546875" style="85" customWidth="1"/>
    <col min="1802" max="1802" width="12" style="85" customWidth="1"/>
    <col min="1803" max="2048" width="9.140625" style="85"/>
    <col min="2049" max="2049" width="27.5703125" style="85" customWidth="1"/>
    <col min="2050" max="2050" width="4.7109375" style="85" customWidth="1"/>
    <col min="2051" max="2051" width="9.85546875" style="85" customWidth="1"/>
    <col min="2052" max="2052" width="9.28515625" style="85" customWidth="1"/>
    <col min="2053" max="2053" width="10.5703125" style="85" customWidth="1"/>
    <col min="2054" max="2054" width="10.140625" style="85" customWidth="1"/>
    <col min="2055" max="2055" width="10.5703125" style="85" customWidth="1"/>
    <col min="2056" max="2056" width="0" style="85" hidden="1" customWidth="1"/>
    <col min="2057" max="2057" width="8.85546875" style="85" customWidth="1"/>
    <col min="2058" max="2058" width="12" style="85" customWidth="1"/>
    <col min="2059" max="2304" width="9.140625" style="85"/>
    <col min="2305" max="2305" width="27.5703125" style="85" customWidth="1"/>
    <col min="2306" max="2306" width="4.7109375" style="85" customWidth="1"/>
    <col min="2307" max="2307" width="9.85546875" style="85" customWidth="1"/>
    <col min="2308" max="2308" width="9.28515625" style="85" customWidth="1"/>
    <col min="2309" max="2309" width="10.5703125" style="85" customWidth="1"/>
    <col min="2310" max="2310" width="10.140625" style="85" customWidth="1"/>
    <col min="2311" max="2311" width="10.5703125" style="85" customWidth="1"/>
    <col min="2312" max="2312" width="0" style="85" hidden="1" customWidth="1"/>
    <col min="2313" max="2313" width="8.85546875" style="85" customWidth="1"/>
    <col min="2314" max="2314" width="12" style="85" customWidth="1"/>
    <col min="2315" max="2560" width="9.140625" style="85"/>
    <col min="2561" max="2561" width="27.5703125" style="85" customWidth="1"/>
    <col min="2562" max="2562" width="4.7109375" style="85" customWidth="1"/>
    <col min="2563" max="2563" width="9.85546875" style="85" customWidth="1"/>
    <col min="2564" max="2564" width="9.28515625" style="85" customWidth="1"/>
    <col min="2565" max="2565" width="10.5703125" style="85" customWidth="1"/>
    <col min="2566" max="2566" width="10.140625" style="85" customWidth="1"/>
    <col min="2567" max="2567" width="10.5703125" style="85" customWidth="1"/>
    <col min="2568" max="2568" width="0" style="85" hidden="1" customWidth="1"/>
    <col min="2569" max="2569" width="8.85546875" style="85" customWidth="1"/>
    <col min="2570" max="2570" width="12" style="85" customWidth="1"/>
    <col min="2571" max="2816" width="9.140625" style="85"/>
    <col min="2817" max="2817" width="27.5703125" style="85" customWidth="1"/>
    <col min="2818" max="2818" width="4.7109375" style="85" customWidth="1"/>
    <col min="2819" max="2819" width="9.85546875" style="85" customWidth="1"/>
    <col min="2820" max="2820" width="9.28515625" style="85" customWidth="1"/>
    <col min="2821" max="2821" width="10.5703125" style="85" customWidth="1"/>
    <col min="2822" max="2822" width="10.140625" style="85" customWidth="1"/>
    <col min="2823" max="2823" width="10.5703125" style="85" customWidth="1"/>
    <col min="2824" max="2824" width="0" style="85" hidden="1" customWidth="1"/>
    <col min="2825" max="2825" width="8.85546875" style="85" customWidth="1"/>
    <col min="2826" max="2826" width="12" style="85" customWidth="1"/>
    <col min="2827" max="3072" width="9.140625" style="85"/>
    <col min="3073" max="3073" width="27.5703125" style="85" customWidth="1"/>
    <col min="3074" max="3074" width="4.7109375" style="85" customWidth="1"/>
    <col min="3075" max="3075" width="9.85546875" style="85" customWidth="1"/>
    <col min="3076" max="3076" width="9.28515625" style="85" customWidth="1"/>
    <col min="3077" max="3077" width="10.5703125" style="85" customWidth="1"/>
    <col min="3078" max="3078" width="10.140625" style="85" customWidth="1"/>
    <col min="3079" max="3079" width="10.5703125" style="85" customWidth="1"/>
    <col min="3080" max="3080" width="0" style="85" hidden="1" customWidth="1"/>
    <col min="3081" max="3081" width="8.85546875" style="85" customWidth="1"/>
    <col min="3082" max="3082" width="12" style="85" customWidth="1"/>
    <col min="3083" max="3328" width="9.140625" style="85"/>
    <col min="3329" max="3329" width="27.5703125" style="85" customWidth="1"/>
    <col min="3330" max="3330" width="4.7109375" style="85" customWidth="1"/>
    <col min="3331" max="3331" width="9.85546875" style="85" customWidth="1"/>
    <col min="3332" max="3332" width="9.28515625" style="85" customWidth="1"/>
    <col min="3333" max="3333" width="10.5703125" style="85" customWidth="1"/>
    <col min="3334" max="3334" width="10.140625" style="85" customWidth="1"/>
    <col min="3335" max="3335" width="10.5703125" style="85" customWidth="1"/>
    <col min="3336" max="3336" width="0" style="85" hidden="1" customWidth="1"/>
    <col min="3337" max="3337" width="8.85546875" style="85" customWidth="1"/>
    <col min="3338" max="3338" width="12" style="85" customWidth="1"/>
    <col min="3339" max="3584" width="9.140625" style="85"/>
    <col min="3585" max="3585" width="27.5703125" style="85" customWidth="1"/>
    <col min="3586" max="3586" width="4.7109375" style="85" customWidth="1"/>
    <col min="3587" max="3587" width="9.85546875" style="85" customWidth="1"/>
    <col min="3588" max="3588" width="9.28515625" style="85" customWidth="1"/>
    <col min="3589" max="3589" width="10.5703125" style="85" customWidth="1"/>
    <col min="3590" max="3590" width="10.140625" style="85" customWidth="1"/>
    <col min="3591" max="3591" width="10.5703125" style="85" customWidth="1"/>
    <col min="3592" max="3592" width="0" style="85" hidden="1" customWidth="1"/>
    <col min="3593" max="3593" width="8.85546875" style="85" customWidth="1"/>
    <col min="3594" max="3594" width="12" style="85" customWidth="1"/>
    <col min="3595" max="3840" width="9.140625" style="85"/>
    <col min="3841" max="3841" width="27.5703125" style="85" customWidth="1"/>
    <col min="3842" max="3842" width="4.7109375" style="85" customWidth="1"/>
    <col min="3843" max="3843" width="9.85546875" style="85" customWidth="1"/>
    <col min="3844" max="3844" width="9.28515625" style="85" customWidth="1"/>
    <col min="3845" max="3845" width="10.5703125" style="85" customWidth="1"/>
    <col min="3846" max="3846" width="10.140625" style="85" customWidth="1"/>
    <col min="3847" max="3847" width="10.5703125" style="85" customWidth="1"/>
    <col min="3848" max="3848" width="0" style="85" hidden="1" customWidth="1"/>
    <col min="3849" max="3849" width="8.85546875" style="85" customWidth="1"/>
    <col min="3850" max="3850" width="12" style="85" customWidth="1"/>
    <col min="3851" max="4096" width="9.140625" style="85"/>
    <col min="4097" max="4097" width="27.5703125" style="85" customWidth="1"/>
    <col min="4098" max="4098" width="4.7109375" style="85" customWidth="1"/>
    <col min="4099" max="4099" width="9.85546875" style="85" customWidth="1"/>
    <col min="4100" max="4100" width="9.28515625" style="85" customWidth="1"/>
    <col min="4101" max="4101" width="10.5703125" style="85" customWidth="1"/>
    <col min="4102" max="4102" width="10.140625" style="85" customWidth="1"/>
    <col min="4103" max="4103" width="10.5703125" style="85" customWidth="1"/>
    <col min="4104" max="4104" width="0" style="85" hidden="1" customWidth="1"/>
    <col min="4105" max="4105" width="8.85546875" style="85" customWidth="1"/>
    <col min="4106" max="4106" width="12" style="85" customWidth="1"/>
    <col min="4107" max="4352" width="9.140625" style="85"/>
    <col min="4353" max="4353" width="27.5703125" style="85" customWidth="1"/>
    <col min="4354" max="4354" width="4.7109375" style="85" customWidth="1"/>
    <col min="4355" max="4355" width="9.85546875" style="85" customWidth="1"/>
    <col min="4356" max="4356" width="9.28515625" style="85" customWidth="1"/>
    <col min="4357" max="4357" width="10.5703125" style="85" customWidth="1"/>
    <col min="4358" max="4358" width="10.140625" style="85" customWidth="1"/>
    <col min="4359" max="4359" width="10.5703125" style="85" customWidth="1"/>
    <col min="4360" max="4360" width="0" style="85" hidden="1" customWidth="1"/>
    <col min="4361" max="4361" width="8.85546875" style="85" customWidth="1"/>
    <col min="4362" max="4362" width="12" style="85" customWidth="1"/>
    <col min="4363" max="4608" width="9.140625" style="85"/>
    <col min="4609" max="4609" width="27.5703125" style="85" customWidth="1"/>
    <col min="4610" max="4610" width="4.7109375" style="85" customWidth="1"/>
    <col min="4611" max="4611" width="9.85546875" style="85" customWidth="1"/>
    <col min="4612" max="4612" width="9.28515625" style="85" customWidth="1"/>
    <col min="4613" max="4613" width="10.5703125" style="85" customWidth="1"/>
    <col min="4614" max="4614" width="10.140625" style="85" customWidth="1"/>
    <col min="4615" max="4615" width="10.5703125" style="85" customWidth="1"/>
    <col min="4616" max="4616" width="0" style="85" hidden="1" customWidth="1"/>
    <col min="4617" max="4617" width="8.85546875" style="85" customWidth="1"/>
    <col min="4618" max="4618" width="12" style="85" customWidth="1"/>
    <col min="4619" max="4864" width="9.140625" style="85"/>
    <col min="4865" max="4865" width="27.5703125" style="85" customWidth="1"/>
    <col min="4866" max="4866" width="4.7109375" style="85" customWidth="1"/>
    <col min="4867" max="4867" width="9.85546875" style="85" customWidth="1"/>
    <col min="4868" max="4868" width="9.28515625" style="85" customWidth="1"/>
    <col min="4869" max="4869" width="10.5703125" style="85" customWidth="1"/>
    <col min="4870" max="4870" width="10.140625" style="85" customWidth="1"/>
    <col min="4871" max="4871" width="10.5703125" style="85" customWidth="1"/>
    <col min="4872" max="4872" width="0" style="85" hidden="1" customWidth="1"/>
    <col min="4873" max="4873" width="8.85546875" style="85" customWidth="1"/>
    <col min="4874" max="4874" width="12" style="85" customWidth="1"/>
    <col min="4875" max="5120" width="9.140625" style="85"/>
    <col min="5121" max="5121" width="27.5703125" style="85" customWidth="1"/>
    <col min="5122" max="5122" width="4.7109375" style="85" customWidth="1"/>
    <col min="5123" max="5123" width="9.85546875" style="85" customWidth="1"/>
    <col min="5124" max="5124" width="9.28515625" style="85" customWidth="1"/>
    <col min="5125" max="5125" width="10.5703125" style="85" customWidth="1"/>
    <col min="5126" max="5126" width="10.140625" style="85" customWidth="1"/>
    <col min="5127" max="5127" width="10.5703125" style="85" customWidth="1"/>
    <col min="5128" max="5128" width="0" style="85" hidden="1" customWidth="1"/>
    <col min="5129" max="5129" width="8.85546875" style="85" customWidth="1"/>
    <col min="5130" max="5130" width="12" style="85" customWidth="1"/>
    <col min="5131" max="5376" width="9.140625" style="85"/>
    <col min="5377" max="5377" width="27.5703125" style="85" customWidth="1"/>
    <col min="5378" max="5378" width="4.7109375" style="85" customWidth="1"/>
    <col min="5379" max="5379" width="9.85546875" style="85" customWidth="1"/>
    <col min="5380" max="5380" width="9.28515625" style="85" customWidth="1"/>
    <col min="5381" max="5381" width="10.5703125" style="85" customWidth="1"/>
    <col min="5382" max="5382" width="10.140625" style="85" customWidth="1"/>
    <col min="5383" max="5383" width="10.5703125" style="85" customWidth="1"/>
    <col min="5384" max="5384" width="0" style="85" hidden="1" customWidth="1"/>
    <col min="5385" max="5385" width="8.85546875" style="85" customWidth="1"/>
    <col min="5386" max="5386" width="12" style="85" customWidth="1"/>
    <col min="5387" max="5632" width="9.140625" style="85"/>
    <col min="5633" max="5633" width="27.5703125" style="85" customWidth="1"/>
    <col min="5634" max="5634" width="4.7109375" style="85" customWidth="1"/>
    <col min="5635" max="5635" width="9.85546875" style="85" customWidth="1"/>
    <col min="5636" max="5636" width="9.28515625" style="85" customWidth="1"/>
    <col min="5637" max="5637" width="10.5703125" style="85" customWidth="1"/>
    <col min="5638" max="5638" width="10.140625" style="85" customWidth="1"/>
    <col min="5639" max="5639" width="10.5703125" style="85" customWidth="1"/>
    <col min="5640" max="5640" width="0" style="85" hidden="1" customWidth="1"/>
    <col min="5641" max="5641" width="8.85546875" style="85" customWidth="1"/>
    <col min="5642" max="5642" width="12" style="85" customWidth="1"/>
    <col min="5643" max="5888" width="9.140625" style="85"/>
    <col min="5889" max="5889" width="27.5703125" style="85" customWidth="1"/>
    <col min="5890" max="5890" width="4.7109375" style="85" customWidth="1"/>
    <col min="5891" max="5891" width="9.85546875" style="85" customWidth="1"/>
    <col min="5892" max="5892" width="9.28515625" style="85" customWidth="1"/>
    <col min="5893" max="5893" width="10.5703125" style="85" customWidth="1"/>
    <col min="5894" max="5894" width="10.140625" style="85" customWidth="1"/>
    <col min="5895" max="5895" width="10.5703125" style="85" customWidth="1"/>
    <col min="5896" max="5896" width="0" style="85" hidden="1" customWidth="1"/>
    <col min="5897" max="5897" width="8.85546875" style="85" customWidth="1"/>
    <col min="5898" max="5898" width="12" style="85" customWidth="1"/>
    <col min="5899" max="6144" width="9.140625" style="85"/>
    <col min="6145" max="6145" width="27.5703125" style="85" customWidth="1"/>
    <col min="6146" max="6146" width="4.7109375" style="85" customWidth="1"/>
    <col min="6147" max="6147" width="9.85546875" style="85" customWidth="1"/>
    <col min="6148" max="6148" width="9.28515625" style="85" customWidth="1"/>
    <col min="6149" max="6149" width="10.5703125" style="85" customWidth="1"/>
    <col min="6150" max="6150" width="10.140625" style="85" customWidth="1"/>
    <col min="6151" max="6151" width="10.5703125" style="85" customWidth="1"/>
    <col min="6152" max="6152" width="0" style="85" hidden="1" customWidth="1"/>
    <col min="6153" max="6153" width="8.85546875" style="85" customWidth="1"/>
    <col min="6154" max="6154" width="12" style="85" customWidth="1"/>
    <col min="6155" max="6400" width="9.140625" style="85"/>
    <col min="6401" max="6401" width="27.5703125" style="85" customWidth="1"/>
    <col min="6402" max="6402" width="4.7109375" style="85" customWidth="1"/>
    <col min="6403" max="6403" width="9.85546875" style="85" customWidth="1"/>
    <col min="6404" max="6404" width="9.28515625" style="85" customWidth="1"/>
    <col min="6405" max="6405" width="10.5703125" style="85" customWidth="1"/>
    <col min="6406" max="6406" width="10.140625" style="85" customWidth="1"/>
    <col min="6407" max="6407" width="10.5703125" style="85" customWidth="1"/>
    <col min="6408" max="6408" width="0" style="85" hidden="1" customWidth="1"/>
    <col min="6409" max="6409" width="8.85546875" style="85" customWidth="1"/>
    <col min="6410" max="6410" width="12" style="85" customWidth="1"/>
    <col min="6411" max="6656" width="9.140625" style="85"/>
    <col min="6657" max="6657" width="27.5703125" style="85" customWidth="1"/>
    <col min="6658" max="6658" width="4.7109375" style="85" customWidth="1"/>
    <col min="6659" max="6659" width="9.85546875" style="85" customWidth="1"/>
    <col min="6660" max="6660" width="9.28515625" style="85" customWidth="1"/>
    <col min="6661" max="6661" width="10.5703125" style="85" customWidth="1"/>
    <col min="6662" max="6662" width="10.140625" style="85" customWidth="1"/>
    <col min="6663" max="6663" width="10.5703125" style="85" customWidth="1"/>
    <col min="6664" max="6664" width="0" style="85" hidden="1" customWidth="1"/>
    <col min="6665" max="6665" width="8.85546875" style="85" customWidth="1"/>
    <col min="6666" max="6666" width="12" style="85" customWidth="1"/>
    <col min="6667" max="6912" width="9.140625" style="85"/>
    <col min="6913" max="6913" width="27.5703125" style="85" customWidth="1"/>
    <col min="6914" max="6914" width="4.7109375" style="85" customWidth="1"/>
    <col min="6915" max="6915" width="9.85546875" style="85" customWidth="1"/>
    <col min="6916" max="6916" width="9.28515625" style="85" customWidth="1"/>
    <col min="6917" max="6917" width="10.5703125" style="85" customWidth="1"/>
    <col min="6918" max="6918" width="10.140625" style="85" customWidth="1"/>
    <col min="6919" max="6919" width="10.5703125" style="85" customWidth="1"/>
    <col min="6920" max="6920" width="0" style="85" hidden="1" customWidth="1"/>
    <col min="6921" max="6921" width="8.85546875" style="85" customWidth="1"/>
    <col min="6922" max="6922" width="12" style="85" customWidth="1"/>
    <col min="6923" max="7168" width="9.140625" style="85"/>
    <col min="7169" max="7169" width="27.5703125" style="85" customWidth="1"/>
    <col min="7170" max="7170" width="4.7109375" style="85" customWidth="1"/>
    <col min="7171" max="7171" width="9.85546875" style="85" customWidth="1"/>
    <col min="7172" max="7172" width="9.28515625" style="85" customWidth="1"/>
    <col min="7173" max="7173" width="10.5703125" style="85" customWidth="1"/>
    <col min="7174" max="7174" width="10.140625" style="85" customWidth="1"/>
    <col min="7175" max="7175" width="10.5703125" style="85" customWidth="1"/>
    <col min="7176" max="7176" width="0" style="85" hidden="1" customWidth="1"/>
    <col min="7177" max="7177" width="8.85546875" style="85" customWidth="1"/>
    <col min="7178" max="7178" width="12" style="85" customWidth="1"/>
    <col min="7179" max="7424" width="9.140625" style="85"/>
    <col min="7425" max="7425" width="27.5703125" style="85" customWidth="1"/>
    <col min="7426" max="7426" width="4.7109375" style="85" customWidth="1"/>
    <col min="7427" max="7427" width="9.85546875" style="85" customWidth="1"/>
    <col min="7428" max="7428" width="9.28515625" style="85" customWidth="1"/>
    <col min="7429" max="7429" width="10.5703125" style="85" customWidth="1"/>
    <col min="7430" max="7430" width="10.140625" style="85" customWidth="1"/>
    <col min="7431" max="7431" width="10.5703125" style="85" customWidth="1"/>
    <col min="7432" max="7432" width="0" style="85" hidden="1" customWidth="1"/>
    <col min="7433" max="7433" width="8.85546875" style="85" customWidth="1"/>
    <col min="7434" max="7434" width="12" style="85" customWidth="1"/>
    <col min="7435" max="7680" width="9.140625" style="85"/>
    <col min="7681" max="7681" width="27.5703125" style="85" customWidth="1"/>
    <col min="7682" max="7682" width="4.7109375" style="85" customWidth="1"/>
    <col min="7683" max="7683" width="9.85546875" style="85" customWidth="1"/>
    <col min="7684" max="7684" width="9.28515625" style="85" customWidth="1"/>
    <col min="7685" max="7685" width="10.5703125" style="85" customWidth="1"/>
    <col min="7686" max="7686" width="10.140625" style="85" customWidth="1"/>
    <col min="7687" max="7687" width="10.5703125" style="85" customWidth="1"/>
    <col min="7688" max="7688" width="0" style="85" hidden="1" customWidth="1"/>
    <col min="7689" max="7689" width="8.85546875" style="85" customWidth="1"/>
    <col min="7690" max="7690" width="12" style="85" customWidth="1"/>
    <col min="7691" max="7936" width="9.140625" style="85"/>
    <col min="7937" max="7937" width="27.5703125" style="85" customWidth="1"/>
    <col min="7938" max="7938" width="4.7109375" style="85" customWidth="1"/>
    <col min="7939" max="7939" width="9.85546875" style="85" customWidth="1"/>
    <col min="7940" max="7940" width="9.28515625" style="85" customWidth="1"/>
    <col min="7941" max="7941" width="10.5703125" style="85" customWidth="1"/>
    <col min="7942" max="7942" width="10.140625" style="85" customWidth="1"/>
    <col min="7943" max="7943" width="10.5703125" style="85" customWidth="1"/>
    <col min="7944" max="7944" width="0" style="85" hidden="1" customWidth="1"/>
    <col min="7945" max="7945" width="8.85546875" style="85" customWidth="1"/>
    <col min="7946" max="7946" width="12" style="85" customWidth="1"/>
    <col min="7947" max="8192" width="9.140625" style="85"/>
    <col min="8193" max="8193" width="27.5703125" style="85" customWidth="1"/>
    <col min="8194" max="8194" width="4.7109375" style="85" customWidth="1"/>
    <col min="8195" max="8195" width="9.85546875" style="85" customWidth="1"/>
    <col min="8196" max="8196" width="9.28515625" style="85" customWidth="1"/>
    <col min="8197" max="8197" width="10.5703125" style="85" customWidth="1"/>
    <col min="8198" max="8198" width="10.140625" style="85" customWidth="1"/>
    <col min="8199" max="8199" width="10.5703125" style="85" customWidth="1"/>
    <col min="8200" max="8200" width="0" style="85" hidden="1" customWidth="1"/>
    <col min="8201" max="8201" width="8.85546875" style="85" customWidth="1"/>
    <col min="8202" max="8202" width="12" style="85" customWidth="1"/>
    <col min="8203" max="8448" width="9.140625" style="85"/>
    <col min="8449" max="8449" width="27.5703125" style="85" customWidth="1"/>
    <col min="8450" max="8450" width="4.7109375" style="85" customWidth="1"/>
    <col min="8451" max="8451" width="9.85546875" style="85" customWidth="1"/>
    <col min="8452" max="8452" width="9.28515625" style="85" customWidth="1"/>
    <col min="8453" max="8453" width="10.5703125" style="85" customWidth="1"/>
    <col min="8454" max="8454" width="10.140625" style="85" customWidth="1"/>
    <col min="8455" max="8455" width="10.5703125" style="85" customWidth="1"/>
    <col min="8456" max="8456" width="0" style="85" hidden="1" customWidth="1"/>
    <col min="8457" max="8457" width="8.85546875" style="85" customWidth="1"/>
    <col min="8458" max="8458" width="12" style="85" customWidth="1"/>
    <col min="8459" max="8704" width="9.140625" style="85"/>
    <col min="8705" max="8705" width="27.5703125" style="85" customWidth="1"/>
    <col min="8706" max="8706" width="4.7109375" style="85" customWidth="1"/>
    <col min="8707" max="8707" width="9.85546875" style="85" customWidth="1"/>
    <col min="8708" max="8708" width="9.28515625" style="85" customWidth="1"/>
    <col min="8709" max="8709" width="10.5703125" style="85" customWidth="1"/>
    <col min="8710" max="8710" width="10.140625" style="85" customWidth="1"/>
    <col min="8711" max="8711" width="10.5703125" style="85" customWidth="1"/>
    <col min="8712" max="8712" width="0" style="85" hidden="1" customWidth="1"/>
    <col min="8713" max="8713" width="8.85546875" style="85" customWidth="1"/>
    <col min="8714" max="8714" width="12" style="85" customWidth="1"/>
    <col min="8715" max="8960" width="9.140625" style="85"/>
    <col min="8961" max="8961" width="27.5703125" style="85" customWidth="1"/>
    <col min="8962" max="8962" width="4.7109375" style="85" customWidth="1"/>
    <col min="8963" max="8963" width="9.85546875" style="85" customWidth="1"/>
    <col min="8964" max="8964" width="9.28515625" style="85" customWidth="1"/>
    <col min="8965" max="8965" width="10.5703125" style="85" customWidth="1"/>
    <col min="8966" max="8966" width="10.140625" style="85" customWidth="1"/>
    <col min="8967" max="8967" width="10.5703125" style="85" customWidth="1"/>
    <col min="8968" max="8968" width="0" style="85" hidden="1" customWidth="1"/>
    <col min="8969" max="8969" width="8.85546875" style="85" customWidth="1"/>
    <col min="8970" max="8970" width="12" style="85" customWidth="1"/>
    <col min="8971" max="9216" width="9.140625" style="85"/>
    <col min="9217" max="9217" width="27.5703125" style="85" customWidth="1"/>
    <col min="9218" max="9218" width="4.7109375" style="85" customWidth="1"/>
    <col min="9219" max="9219" width="9.85546875" style="85" customWidth="1"/>
    <col min="9220" max="9220" width="9.28515625" style="85" customWidth="1"/>
    <col min="9221" max="9221" width="10.5703125" style="85" customWidth="1"/>
    <col min="9222" max="9222" width="10.140625" style="85" customWidth="1"/>
    <col min="9223" max="9223" width="10.5703125" style="85" customWidth="1"/>
    <col min="9224" max="9224" width="0" style="85" hidden="1" customWidth="1"/>
    <col min="9225" max="9225" width="8.85546875" style="85" customWidth="1"/>
    <col min="9226" max="9226" width="12" style="85" customWidth="1"/>
    <col min="9227" max="9472" width="9.140625" style="85"/>
    <col min="9473" max="9473" width="27.5703125" style="85" customWidth="1"/>
    <col min="9474" max="9474" width="4.7109375" style="85" customWidth="1"/>
    <col min="9475" max="9475" width="9.85546875" style="85" customWidth="1"/>
    <col min="9476" max="9476" width="9.28515625" style="85" customWidth="1"/>
    <col min="9477" max="9477" width="10.5703125" style="85" customWidth="1"/>
    <col min="9478" max="9478" width="10.140625" style="85" customWidth="1"/>
    <col min="9479" max="9479" width="10.5703125" style="85" customWidth="1"/>
    <col min="9480" max="9480" width="0" style="85" hidden="1" customWidth="1"/>
    <col min="9481" max="9481" width="8.85546875" style="85" customWidth="1"/>
    <col min="9482" max="9482" width="12" style="85" customWidth="1"/>
    <col min="9483" max="9728" width="9.140625" style="85"/>
    <col min="9729" max="9729" width="27.5703125" style="85" customWidth="1"/>
    <col min="9730" max="9730" width="4.7109375" style="85" customWidth="1"/>
    <col min="9731" max="9731" width="9.85546875" style="85" customWidth="1"/>
    <col min="9732" max="9732" width="9.28515625" style="85" customWidth="1"/>
    <col min="9733" max="9733" width="10.5703125" style="85" customWidth="1"/>
    <col min="9734" max="9734" width="10.140625" style="85" customWidth="1"/>
    <col min="9735" max="9735" width="10.5703125" style="85" customWidth="1"/>
    <col min="9736" max="9736" width="0" style="85" hidden="1" customWidth="1"/>
    <col min="9737" max="9737" width="8.85546875" style="85" customWidth="1"/>
    <col min="9738" max="9738" width="12" style="85" customWidth="1"/>
    <col min="9739" max="9984" width="9.140625" style="85"/>
    <col min="9985" max="9985" width="27.5703125" style="85" customWidth="1"/>
    <col min="9986" max="9986" width="4.7109375" style="85" customWidth="1"/>
    <col min="9987" max="9987" width="9.85546875" style="85" customWidth="1"/>
    <col min="9988" max="9988" width="9.28515625" style="85" customWidth="1"/>
    <col min="9989" max="9989" width="10.5703125" style="85" customWidth="1"/>
    <col min="9990" max="9990" width="10.140625" style="85" customWidth="1"/>
    <col min="9991" max="9991" width="10.5703125" style="85" customWidth="1"/>
    <col min="9992" max="9992" width="0" style="85" hidden="1" customWidth="1"/>
    <col min="9993" max="9993" width="8.85546875" style="85" customWidth="1"/>
    <col min="9994" max="9994" width="12" style="85" customWidth="1"/>
    <col min="9995" max="10240" width="9.140625" style="85"/>
    <col min="10241" max="10241" width="27.5703125" style="85" customWidth="1"/>
    <col min="10242" max="10242" width="4.7109375" style="85" customWidth="1"/>
    <col min="10243" max="10243" width="9.85546875" style="85" customWidth="1"/>
    <col min="10244" max="10244" width="9.28515625" style="85" customWidth="1"/>
    <col min="10245" max="10245" width="10.5703125" style="85" customWidth="1"/>
    <col min="10246" max="10246" width="10.140625" style="85" customWidth="1"/>
    <col min="10247" max="10247" width="10.5703125" style="85" customWidth="1"/>
    <col min="10248" max="10248" width="0" style="85" hidden="1" customWidth="1"/>
    <col min="10249" max="10249" width="8.85546875" style="85" customWidth="1"/>
    <col min="10250" max="10250" width="12" style="85" customWidth="1"/>
    <col min="10251" max="10496" width="9.140625" style="85"/>
    <col min="10497" max="10497" width="27.5703125" style="85" customWidth="1"/>
    <col min="10498" max="10498" width="4.7109375" style="85" customWidth="1"/>
    <col min="10499" max="10499" width="9.85546875" style="85" customWidth="1"/>
    <col min="10500" max="10500" width="9.28515625" style="85" customWidth="1"/>
    <col min="10501" max="10501" width="10.5703125" style="85" customWidth="1"/>
    <col min="10502" max="10502" width="10.140625" style="85" customWidth="1"/>
    <col min="10503" max="10503" width="10.5703125" style="85" customWidth="1"/>
    <col min="10504" max="10504" width="0" style="85" hidden="1" customWidth="1"/>
    <col min="10505" max="10505" width="8.85546875" style="85" customWidth="1"/>
    <col min="10506" max="10506" width="12" style="85" customWidth="1"/>
    <col min="10507" max="10752" width="9.140625" style="85"/>
    <col min="10753" max="10753" width="27.5703125" style="85" customWidth="1"/>
    <col min="10754" max="10754" width="4.7109375" style="85" customWidth="1"/>
    <col min="10755" max="10755" width="9.85546875" style="85" customWidth="1"/>
    <col min="10756" max="10756" width="9.28515625" style="85" customWidth="1"/>
    <col min="10757" max="10757" width="10.5703125" style="85" customWidth="1"/>
    <col min="10758" max="10758" width="10.140625" style="85" customWidth="1"/>
    <col min="10759" max="10759" width="10.5703125" style="85" customWidth="1"/>
    <col min="10760" max="10760" width="0" style="85" hidden="1" customWidth="1"/>
    <col min="10761" max="10761" width="8.85546875" style="85" customWidth="1"/>
    <col min="10762" max="10762" width="12" style="85" customWidth="1"/>
    <col min="10763" max="11008" width="9.140625" style="85"/>
    <col min="11009" max="11009" width="27.5703125" style="85" customWidth="1"/>
    <col min="11010" max="11010" width="4.7109375" style="85" customWidth="1"/>
    <col min="11011" max="11011" width="9.85546875" style="85" customWidth="1"/>
    <col min="11012" max="11012" width="9.28515625" style="85" customWidth="1"/>
    <col min="11013" max="11013" width="10.5703125" style="85" customWidth="1"/>
    <col min="11014" max="11014" width="10.140625" style="85" customWidth="1"/>
    <col min="11015" max="11015" width="10.5703125" style="85" customWidth="1"/>
    <col min="11016" max="11016" width="0" style="85" hidden="1" customWidth="1"/>
    <col min="11017" max="11017" width="8.85546875" style="85" customWidth="1"/>
    <col min="11018" max="11018" width="12" style="85" customWidth="1"/>
    <col min="11019" max="11264" width="9.140625" style="85"/>
    <col min="11265" max="11265" width="27.5703125" style="85" customWidth="1"/>
    <col min="11266" max="11266" width="4.7109375" style="85" customWidth="1"/>
    <col min="11267" max="11267" width="9.85546875" style="85" customWidth="1"/>
    <col min="11268" max="11268" width="9.28515625" style="85" customWidth="1"/>
    <col min="11269" max="11269" width="10.5703125" style="85" customWidth="1"/>
    <col min="11270" max="11270" width="10.140625" style="85" customWidth="1"/>
    <col min="11271" max="11271" width="10.5703125" style="85" customWidth="1"/>
    <col min="11272" max="11272" width="0" style="85" hidden="1" customWidth="1"/>
    <col min="11273" max="11273" width="8.85546875" style="85" customWidth="1"/>
    <col min="11274" max="11274" width="12" style="85" customWidth="1"/>
    <col min="11275" max="11520" width="9.140625" style="85"/>
    <col min="11521" max="11521" width="27.5703125" style="85" customWidth="1"/>
    <col min="11522" max="11522" width="4.7109375" style="85" customWidth="1"/>
    <col min="11523" max="11523" width="9.85546875" style="85" customWidth="1"/>
    <col min="11524" max="11524" width="9.28515625" style="85" customWidth="1"/>
    <col min="11525" max="11525" width="10.5703125" style="85" customWidth="1"/>
    <col min="11526" max="11526" width="10.140625" style="85" customWidth="1"/>
    <col min="11527" max="11527" width="10.5703125" style="85" customWidth="1"/>
    <col min="11528" max="11528" width="0" style="85" hidden="1" customWidth="1"/>
    <col min="11529" max="11529" width="8.85546875" style="85" customWidth="1"/>
    <col min="11530" max="11530" width="12" style="85" customWidth="1"/>
    <col min="11531" max="11776" width="9.140625" style="85"/>
    <col min="11777" max="11777" width="27.5703125" style="85" customWidth="1"/>
    <col min="11778" max="11778" width="4.7109375" style="85" customWidth="1"/>
    <col min="11779" max="11779" width="9.85546875" style="85" customWidth="1"/>
    <col min="11780" max="11780" width="9.28515625" style="85" customWidth="1"/>
    <col min="11781" max="11781" width="10.5703125" style="85" customWidth="1"/>
    <col min="11782" max="11782" width="10.140625" style="85" customWidth="1"/>
    <col min="11783" max="11783" width="10.5703125" style="85" customWidth="1"/>
    <col min="11784" max="11784" width="0" style="85" hidden="1" customWidth="1"/>
    <col min="11785" max="11785" width="8.85546875" style="85" customWidth="1"/>
    <col min="11786" max="11786" width="12" style="85" customWidth="1"/>
    <col min="11787" max="12032" width="9.140625" style="85"/>
    <col min="12033" max="12033" width="27.5703125" style="85" customWidth="1"/>
    <col min="12034" max="12034" width="4.7109375" style="85" customWidth="1"/>
    <col min="12035" max="12035" width="9.85546875" style="85" customWidth="1"/>
    <col min="12036" max="12036" width="9.28515625" style="85" customWidth="1"/>
    <col min="12037" max="12037" width="10.5703125" style="85" customWidth="1"/>
    <col min="12038" max="12038" width="10.140625" style="85" customWidth="1"/>
    <col min="12039" max="12039" width="10.5703125" style="85" customWidth="1"/>
    <col min="12040" max="12040" width="0" style="85" hidden="1" customWidth="1"/>
    <col min="12041" max="12041" width="8.85546875" style="85" customWidth="1"/>
    <col min="12042" max="12042" width="12" style="85" customWidth="1"/>
    <col min="12043" max="12288" width="9.140625" style="85"/>
    <col min="12289" max="12289" width="27.5703125" style="85" customWidth="1"/>
    <col min="12290" max="12290" width="4.7109375" style="85" customWidth="1"/>
    <col min="12291" max="12291" width="9.85546875" style="85" customWidth="1"/>
    <col min="12292" max="12292" width="9.28515625" style="85" customWidth="1"/>
    <col min="12293" max="12293" width="10.5703125" style="85" customWidth="1"/>
    <col min="12294" max="12294" width="10.140625" style="85" customWidth="1"/>
    <col min="12295" max="12295" width="10.5703125" style="85" customWidth="1"/>
    <col min="12296" max="12296" width="0" style="85" hidden="1" customWidth="1"/>
    <col min="12297" max="12297" width="8.85546875" style="85" customWidth="1"/>
    <col min="12298" max="12298" width="12" style="85" customWidth="1"/>
    <col min="12299" max="12544" width="9.140625" style="85"/>
    <col min="12545" max="12545" width="27.5703125" style="85" customWidth="1"/>
    <col min="12546" max="12546" width="4.7109375" style="85" customWidth="1"/>
    <col min="12547" max="12547" width="9.85546875" style="85" customWidth="1"/>
    <col min="12548" max="12548" width="9.28515625" style="85" customWidth="1"/>
    <col min="12549" max="12549" width="10.5703125" style="85" customWidth="1"/>
    <col min="12550" max="12550" width="10.140625" style="85" customWidth="1"/>
    <col min="12551" max="12551" width="10.5703125" style="85" customWidth="1"/>
    <col min="12552" max="12552" width="0" style="85" hidden="1" customWidth="1"/>
    <col min="12553" max="12553" width="8.85546875" style="85" customWidth="1"/>
    <col min="12554" max="12554" width="12" style="85" customWidth="1"/>
    <col min="12555" max="12800" width="9.140625" style="85"/>
    <col min="12801" max="12801" width="27.5703125" style="85" customWidth="1"/>
    <col min="12802" max="12802" width="4.7109375" style="85" customWidth="1"/>
    <col min="12803" max="12803" width="9.85546875" style="85" customWidth="1"/>
    <col min="12804" max="12804" width="9.28515625" style="85" customWidth="1"/>
    <col min="12805" max="12805" width="10.5703125" style="85" customWidth="1"/>
    <col min="12806" max="12806" width="10.140625" style="85" customWidth="1"/>
    <col min="12807" max="12807" width="10.5703125" style="85" customWidth="1"/>
    <col min="12808" max="12808" width="0" style="85" hidden="1" customWidth="1"/>
    <col min="12809" max="12809" width="8.85546875" style="85" customWidth="1"/>
    <col min="12810" max="12810" width="12" style="85" customWidth="1"/>
    <col min="12811" max="13056" width="9.140625" style="85"/>
    <col min="13057" max="13057" width="27.5703125" style="85" customWidth="1"/>
    <col min="13058" max="13058" width="4.7109375" style="85" customWidth="1"/>
    <col min="13059" max="13059" width="9.85546875" style="85" customWidth="1"/>
    <col min="13060" max="13060" width="9.28515625" style="85" customWidth="1"/>
    <col min="13061" max="13061" width="10.5703125" style="85" customWidth="1"/>
    <col min="13062" max="13062" width="10.140625" style="85" customWidth="1"/>
    <col min="13063" max="13063" width="10.5703125" style="85" customWidth="1"/>
    <col min="13064" max="13064" width="0" style="85" hidden="1" customWidth="1"/>
    <col min="13065" max="13065" width="8.85546875" style="85" customWidth="1"/>
    <col min="13066" max="13066" width="12" style="85" customWidth="1"/>
    <col min="13067" max="13312" width="9.140625" style="85"/>
    <col min="13313" max="13313" width="27.5703125" style="85" customWidth="1"/>
    <col min="13314" max="13314" width="4.7109375" style="85" customWidth="1"/>
    <col min="13315" max="13315" width="9.85546875" style="85" customWidth="1"/>
    <col min="13316" max="13316" width="9.28515625" style="85" customWidth="1"/>
    <col min="13317" max="13317" width="10.5703125" style="85" customWidth="1"/>
    <col min="13318" max="13318" width="10.140625" style="85" customWidth="1"/>
    <col min="13319" max="13319" width="10.5703125" style="85" customWidth="1"/>
    <col min="13320" max="13320" width="0" style="85" hidden="1" customWidth="1"/>
    <col min="13321" max="13321" width="8.85546875" style="85" customWidth="1"/>
    <col min="13322" max="13322" width="12" style="85" customWidth="1"/>
    <col min="13323" max="13568" width="9.140625" style="85"/>
    <col min="13569" max="13569" width="27.5703125" style="85" customWidth="1"/>
    <col min="13570" max="13570" width="4.7109375" style="85" customWidth="1"/>
    <col min="13571" max="13571" width="9.85546875" style="85" customWidth="1"/>
    <col min="13572" max="13572" width="9.28515625" style="85" customWidth="1"/>
    <col min="13573" max="13573" width="10.5703125" style="85" customWidth="1"/>
    <col min="13574" max="13574" width="10.140625" style="85" customWidth="1"/>
    <col min="13575" max="13575" width="10.5703125" style="85" customWidth="1"/>
    <col min="13576" max="13576" width="0" style="85" hidden="1" customWidth="1"/>
    <col min="13577" max="13577" width="8.85546875" style="85" customWidth="1"/>
    <col min="13578" max="13578" width="12" style="85" customWidth="1"/>
    <col min="13579" max="13824" width="9.140625" style="85"/>
    <col min="13825" max="13825" width="27.5703125" style="85" customWidth="1"/>
    <col min="13826" max="13826" width="4.7109375" style="85" customWidth="1"/>
    <col min="13827" max="13827" width="9.85546875" style="85" customWidth="1"/>
    <col min="13828" max="13828" width="9.28515625" style="85" customWidth="1"/>
    <col min="13829" max="13829" width="10.5703125" style="85" customWidth="1"/>
    <col min="13830" max="13830" width="10.140625" style="85" customWidth="1"/>
    <col min="13831" max="13831" width="10.5703125" style="85" customWidth="1"/>
    <col min="13832" max="13832" width="0" style="85" hidden="1" customWidth="1"/>
    <col min="13833" max="13833" width="8.85546875" style="85" customWidth="1"/>
    <col min="13834" max="13834" width="12" style="85" customWidth="1"/>
    <col min="13835" max="14080" width="9.140625" style="85"/>
    <col min="14081" max="14081" width="27.5703125" style="85" customWidth="1"/>
    <col min="14082" max="14082" width="4.7109375" style="85" customWidth="1"/>
    <col min="14083" max="14083" width="9.85546875" style="85" customWidth="1"/>
    <col min="14084" max="14084" width="9.28515625" style="85" customWidth="1"/>
    <col min="14085" max="14085" width="10.5703125" style="85" customWidth="1"/>
    <col min="14086" max="14086" width="10.140625" style="85" customWidth="1"/>
    <col min="14087" max="14087" width="10.5703125" style="85" customWidth="1"/>
    <col min="14088" max="14088" width="0" style="85" hidden="1" customWidth="1"/>
    <col min="14089" max="14089" width="8.85546875" style="85" customWidth="1"/>
    <col min="14090" max="14090" width="12" style="85" customWidth="1"/>
    <col min="14091" max="14336" width="9.140625" style="85"/>
    <col min="14337" max="14337" width="27.5703125" style="85" customWidth="1"/>
    <col min="14338" max="14338" width="4.7109375" style="85" customWidth="1"/>
    <col min="14339" max="14339" width="9.85546875" style="85" customWidth="1"/>
    <col min="14340" max="14340" width="9.28515625" style="85" customWidth="1"/>
    <col min="14341" max="14341" width="10.5703125" style="85" customWidth="1"/>
    <col min="14342" max="14342" width="10.140625" style="85" customWidth="1"/>
    <col min="14343" max="14343" width="10.5703125" style="85" customWidth="1"/>
    <col min="14344" max="14344" width="0" style="85" hidden="1" customWidth="1"/>
    <col min="14345" max="14345" width="8.85546875" style="85" customWidth="1"/>
    <col min="14346" max="14346" width="12" style="85" customWidth="1"/>
    <col min="14347" max="14592" width="9.140625" style="85"/>
    <col min="14593" max="14593" width="27.5703125" style="85" customWidth="1"/>
    <col min="14594" max="14594" width="4.7109375" style="85" customWidth="1"/>
    <col min="14595" max="14595" width="9.85546875" style="85" customWidth="1"/>
    <col min="14596" max="14596" width="9.28515625" style="85" customWidth="1"/>
    <col min="14597" max="14597" width="10.5703125" style="85" customWidth="1"/>
    <col min="14598" max="14598" width="10.140625" style="85" customWidth="1"/>
    <col min="14599" max="14599" width="10.5703125" style="85" customWidth="1"/>
    <col min="14600" max="14600" width="0" style="85" hidden="1" customWidth="1"/>
    <col min="14601" max="14601" width="8.85546875" style="85" customWidth="1"/>
    <col min="14602" max="14602" width="12" style="85" customWidth="1"/>
    <col min="14603" max="14848" width="9.140625" style="85"/>
    <col min="14849" max="14849" width="27.5703125" style="85" customWidth="1"/>
    <col min="14850" max="14850" width="4.7109375" style="85" customWidth="1"/>
    <col min="14851" max="14851" width="9.85546875" style="85" customWidth="1"/>
    <col min="14852" max="14852" width="9.28515625" style="85" customWidth="1"/>
    <col min="14853" max="14853" width="10.5703125" style="85" customWidth="1"/>
    <col min="14854" max="14854" width="10.140625" style="85" customWidth="1"/>
    <col min="14855" max="14855" width="10.5703125" style="85" customWidth="1"/>
    <col min="14856" max="14856" width="0" style="85" hidden="1" customWidth="1"/>
    <col min="14857" max="14857" width="8.85546875" style="85" customWidth="1"/>
    <col min="14858" max="14858" width="12" style="85" customWidth="1"/>
    <col min="14859" max="15104" width="9.140625" style="85"/>
    <col min="15105" max="15105" width="27.5703125" style="85" customWidth="1"/>
    <col min="15106" max="15106" width="4.7109375" style="85" customWidth="1"/>
    <col min="15107" max="15107" width="9.85546875" style="85" customWidth="1"/>
    <col min="15108" max="15108" width="9.28515625" style="85" customWidth="1"/>
    <col min="15109" max="15109" width="10.5703125" style="85" customWidth="1"/>
    <col min="15110" max="15110" width="10.140625" style="85" customWidth="1"/>
    <col min="15111" max="15111" width="10.5703125" style="85" customWidth="1"/>
    <col min="15112" max="15112" width="0" style="85" hidden="1" customWidth="1"/>
    <col min="15113" max="15113" width="8.85546875" style="85" customWidth="1"/>
    <col min="15114" max="15114" width="12" style="85" customWidth="1"/>
    <col min="15115" max="15360" width="9.140625" style="85"/>
    <col min="15361" max="15361" width="27.5703125" style="85" customWidth="1"/>
    <col min="15362" max="15362" width="4.7109375" style="85" customWidth="1"/>
    <col min="15363" max="15363" width="9.85546875" style="85" customWidth="1"/>
    <col min="15364" max="15364" width="9.28515625" style="85" customWidth="1"/>
    <col min="15365" max="15365" width="10.5703125" style="85" customWidth="1"/>
    <col min="15366" max="15366" width="10.140625" style="85" customWidth="1"/>
    <col min="15367" max="15367" width="10.5703125" style="85" customWidth="1"/>
    <col min="15368" max="15368" width="0" style="85" hidden="1" customWidth="1"/>
    <col min="15369" max="15369" width="8.85546875" style="85" customWidth="1"/>
    <col min="15370" max="15370" width="12" style="85" customWidth="1"/>
    <col min="15371" max="15616" width="9.140625" style="85"/>
    <col min="15617" max="15617" width="27.5703125" style="85" customWidth="1"/>
    <col min="15618" max="15618" width="4.7109375" style="85" customWidth="1"/>
    <col min="15619" max="15619" width="9.85546875" style="85" customWidth="1"/>
    <col min="15620" max="15620" width="9.28515625" style="85" customWidth="1"/>
    <col min="15621" max="15621" width="10.5703125" style="85" customWidth="1"/>
    <col min="15622" max="15622" width="10.140625" style="85" customWidth="1"/>
    <col min="15623" max="15623" width="10.5703125" style="85" customWidth="1"/>
    <col min="15624" max="15624" width="0" style="85" hidden="1" customWidth="1"/>
    <col min="15625" max="15625" width="8.85546875" style="85" customWidth="1"/>
    <col min="15626" max="15626" width="12" style="85" customWidth="1"/>
    <col min="15627" max="15872" width="9.140625" style="85"/>
    <col min="15873" max="15873" width="27.5703125" style="85" customWidth="1"/>
    <col min="15874" max="15874" width="4.7109375" style="85" customWidth="1"/>
    <col min="15875" max="15875" width="9.85546875" style="85" customWidth="1"/>
    <col min="15876" max="15876" width="9.28515625" style="85" customWidth="1"/>
    <col min="15877" max="15877" width="10.5703125" style="85" customWidth="1"/>
    <col min="15878" max="15878" width="10.140625" style="85" customWidth="1"/>
    <col min="15879" max="15879" width="10.5703125" style="85" customWidth="1"/>
    <col min="15880" max="15880" width="0" style="85" hidden="1" customWidth="1"/>
    <col min="15881" max="15881" width="8.85546875" style="85" customWidth="1"/>
    <col min="15882" max="15882" width="12" style="85" customWidth="1"/>
    <col min="15883" max="16128" width="9.140625" style="85"/>
    <col min="16129" max="16129" width="27.5703125" style="85" customWidth="1"/>
    <col min="16130" max="16130" width="4.7109375" style="85" customWidth="1"/>
    <col min="16131" max="16131" width="9.85546875" style="85" customWidth="1"/>
    <col min="16132" max="16132" width="9.28515625" style="85" customWidth="1"/>
    <col min="16133" max="16133" width="10.5703125" style="85" customWidth="1"/>
    <col min="16134" max="16134" width="10.140625" style="85" customWidth="1"/>
    <col min="16135" max="16135" width="10.5703125" style="85" customWidth="1"/>
    <col min="16136" max="16136" width="0" style="85" hidden="1" customWidth="1"/>
    <col min="16137" max="16137" width="8.85546875" style="85" customWidth="1"/>
    <col min="16138" max="16138" width="12" style="85" customWidth="1"/>
    <col min="16139" max="16384" width="9.140625" style="85"/>
  </cols>
  <sheetData>
    <row r="1" spans="1:12" ht="15.75" customHeight="1">
      <c r="A1" s="913" t="s">
        <v>1034</v>
      </c>
      <c r="B1" s="913"/>
      <c r="C1" s="913"/>
      <c r="D1" s="913"/>
      <c r="E1" s="913"/>
      <c r="F1" s="913"/>
      <c r="G1" s="913"/>
      <c r="H1" s="84"/>
      <c r="I1" s="84"/>
    </row>
    <row r="2" spans="1:12" ht="15.75">
      <c r="A2" s="594"/>
      <c r="B2" s="914" t="str">
        <f>"за " &amp; IF(MONTH('Общие сведения'!D2)=3, "январь - март " &amp; YEAR('Общие сведения'!D2) &amp; " года", IF(MONTH('Общие сведения'!D2)=6, "январь - июнь " &amp; YEAR('Общие сведения'!D2) &amp; " года", IF(MONTH('Общие сведения'!D2)=9, "январь - сентябрь " &amp; YEAR('Общие сведения'!D2) &amp; " года", YEAR('Общие сведения'!D2) &amp; " год")))</f>
        <v>за январь - март 2026 года</v>
      </c>
      <c r="C2" s="914"/>
      <c r="D2" s="914"/>
      <c r="E2" s="914"/>
      <c r="F2" s="914"/>
      <c r="G2" s="594"/>
      <c r="H2" s="84"/>
      <c r="I2" s="84"/>
    </row>
    <row r="3" spans="1:12" ht="15.75" hidden="1">
      <c r="A3" s="918"/>
      <c r="B3" s="918"/>
      <c r="C3" s="918"/>
      <c r="D3" s="918"/>
      <c r="E3" s="918"/>
      <c r="F3" s="918"/>
      <c r="G3" s="918"/>
    </row>
    <row r="4" spans="1:12" ht="8.25" customHeight="1">
      <c r="A4" s="594"/>
      <c r="B4" s="594"/>
      <c r="C4" s="594"/>
      <c r="D4" s="594"/>
      <c r="E4" s="594"/>
      <c r="F4" s="594"/>
      <c r="G4" s="594"/>
    </row>
    <row r="5" spans="1:12" ht="15.75" customHeight="1">
      <c r="A5" s="87"/>
      <c r="B5" s="88"/>
      <c r="C5" s="52"/>
      <c r="D5" s="52"/>
      <c r="E5" s="52"/>
      <c r="F5" s="52"/>
      <c r="G5" s="52"/>
      <c r="H5" s="52"/>
      <c r="I5" s="52"/>
      <c r="J5" s="89" t="s">
        <v>199</v>
      </c>
    </row>
    <row r="6" spans="1:12" ht="15.75" customHeight="1">
      <c r="A6" s="90"/>
      <c r="B6" s="88"/>
      <c r="C6" s="52"/>
      <c r="D6" s="52"/>
      <c r="E6" s="52"/>
      <c r="F6" s="91"/>
      <c r="G6" s="915" t="s">
        <v>200</v>
      </c>
      <c r="H6" s="915"/>
      <c r="I6" s="916"/>
      <c r="J6" s="92">
        <v>710004</v>
      </c>
      <c r="L6" s="93" t="s">
        <v>201</v>
      </c>
    </row>
    <row r="7" spans="1:12" ht="15.75" customHeight="1">
      <c r="A7" s="87"/>
      <c r="B7" s="88"/>
      <c r="C7" s="52"/>
      <c r="D7" s="52"/>
      <c r="E7" s="52"/>
      <c r="F7" s="915" t="s">
        <v>132</v>
      </c>
      <c r="G7" s="915"/>
      <c r="H7" s="915"/>
      <c r="I7" s="916"/>
      <c r="J7" s="595" t="str">
        <f>" " &amp; 'Общие сведения'!D16</f>
        <v xml:space="preserve"> 31 / 03 / 2026</v>
      </c>
    </row>
    <row r="8" spans="1:12" ht="16.5" hidden="1" customHeight="1">
      <c r="A8" s="928" t="str">
        <f>" Организация: " &amp; 'Общие сведения'!D18</f>
        <v xml:space="preserve"> Организация: </v>
      </c>
      <c r="B8" s="928"/>
      <c r="C8" s="928"/>
      <c r="D8" s="928"/>
      <c r="E8" s="928"/>
      <c r="F8" s="928"/>
      <c r="G8" s="915" t="s">
        <v>202</v>
      </c>
      <c r="H8" s="915"/>
      <c r="I8" s="916"/>
      <c r="J8" s="94" t="str">
        <f>" " &amp; 'Общие сведения'!D19</f>
        <v xml:space="preserve"> </v>
      </c>
    </row>
    <row r="9" spans="1:12" ht="13.5" hidden="1" customHeight="1">
      <c r="A9" s="928" t="s">
        <v>1035</v>
      </c>
      <c r="B9" s="928"/>
      <c r="C9" s="928"/>
      <c r="D9" s="928"/>
      <c r="E9" s="928"/>
      <c r="F9" s="91"/>
      <c r="G9" s="915" t="s">
        <v>1036</v>
      </c>
      <c r="H9" s="915"/>
      <c r="I9" s="916"/>
      <c r="J9" s="94" t="str">
        <f>" " &amp; 'Общие сведения'!D20</f>
        <v xml:space="preserve"> </v>
      </c>
    </row>
    <row r="10" spans="1:12" ht="21" hidden="1" customHeight="1">
      <c r="A10" s="928" t="str">
        <f>" Вид экономической деятельности: "</f>
        <v xml:space="preserve"> Вид экономической деятельности: </v>
      </c>
      <c r="B10" s="928"/>
      <c r="C10" s="928"/>
      <c r="D10" s="928"/>
      <c r="E10" s="928"/>
      <c r="F10" s="928"/>
      <c r="G10" s="915" t="s">
        <v>1037</v>
      </c>
      <c r="H10" s="915"/>
      <c r="I10" s="916"/>
      <c r="J10" s="94" t="str">
        <f>" "</f>
        <v xml:space="preserve"> </v>
      </c>
    </row>
    <row r="11" spans="1:12" ht="13.5" hidden="1" customHeight="1">
      <c r="A11" s="922" t="s">
        <v>1038</v>
      </c>
      <c r="B11" s="922"/>
      <c r="C11" s="922"/>
      <c r="D11" s="922"/>
      <c r="E11" s="922"/>
      <c r="F11" s="596"/>
      <c r="G11" s="95"/>
      <c r="H11" s="597"/>
      <c r="I11" s="91"/>
      <c r="J11" s="96"/>
    </row>
    <row r="12" spans="1:12" ht="15.75" customHeight="1">
      <c r="A12" s="927" t="str">
        <f>"   " &amp; 'Общие сведения'!D22</f>
        <v xml:space="preserve">   12300</v>
      </c>
      <c r="B12" s="927"/>
      <c r="C12" s="927"/>
      <c r="D12" s="927"/>
      <c r="E12" s="927"/>
      <c r="F12" s="927"/>
      <c r="G12" s="915" t="s">
        <v>1039</v>
      </c>
      <c r="H12" s="915"/>
      <c r="I12" s="916"/>
      <c r="J12" s="598" t="str">
        <f>" " &amp; 'Общие сведения'!D22 &amp; "/" &amp; 'Общие сведения'!D24</f>
        <v xml:space="preserve"> 12300/16</v>
      </c>
    </row>
    <row r="13" spans="1:12" ht="15.75" customHeight="1">
      <c r="A13" s="332" t="s">
        <v>14</v>
      </c>
      <c r="B13" s="88"/>
      <c r="C13" s="52"/>
      <c r="D13" s="52"/>
      <c r="E13" s="52"/>
      <c r="F13" s="91"/>
      <c r="G13" s="915" t="s">
        <v>203</v>
      </c>
      <c r="H13" s="915"/>
      <c r="I13" s="916"/>
      <c r="J13" s="97" t="str">
        <f>" " &amp; 'Общие сведения'!D15</f>
        <v xml:space="preserve"> 384</v>
      </c>
    </row>
    <row r="14" spans="1:12" ht="12" customHeight="1">
      <c r="A14" s="332"/>
      <c r="B14" s="88"/>
      <c r="C14" s="52"/>
      <c r="D14" s="52"/>
      <c r="E14" s="52"/>
      <c r="F14" s="52"/>
      <c r="G14" s="599"/>
      <c r="H14" s="599"/>
      <c r="I14" s="599"/>
      <c r="J14" s="599"/>
    </row>
    <row r="15" spans="1:12" ht="15.75">
      <c r="A15" s="923" t="s">
        <v>1040</v>
      </c>
      <c r="B15" s="923"/>
      <c r="C15" s="923"/>
      <c r="D15" s="923"/>
      <c r="E15" s="923"/>
      <c r="F15" s="923"/>
      <c r="G15" s="923"/>
      <c r="H15" s="923"/>
      <c r="I15" s="923"/>
      <c r="J15" s="923"/>
      <c r="K15" s="52"/>
    </row>
    <row r="16" spans="1:12" ht="9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</row>
    <row r="17" spans="1:12" ht="57" customHeight="1">
      <c r="A17" s="600" t="s">
        <v>0</v>
      </c>
      <c r="B17" s="98" t="s">
        <v>1041</v>
      </c>
      <c r="C17" s="99" t="s">
        <v>204</v>
      </c>
      <c r="D17" s="100" t="s">
        <v>1042</v>
      </c>
      <c r="E17" s="99" t="s">
        <v>1043</v>
      </c>
      <c r="F17" s="101" t="s">
        <v>64</v>
      </c>
      <c r="G17" s="99" t="s">
        <v>1044</v>
      </c>
      <c r="H17" s="101" t="s">
        <v>1045</v>
      </c>
      <c r="I17" s="99" t="s">
        <v>1046</v>
      </c>
      <c r="J17" s="102" t="s">
        <v>205</v>
      </c>
      <c r="L17" s="106"/>
    </row>
    <row r="18" spans="1:12" s="105" customFormat="1" ht="24.95" customHeight="1">
      <c r="A18" s="601" t="s">
        <v>1047</v>
      </c>
      <c r="B18" s="602" t="s">
        <v>1048</v>
      </c>
      <c r="C18" s="103">
        <v>0</v>
      </c>
      <c r="D18" s="103">
        <v>0</v>
      </c>
      <c r="E18" s="103">
        <v>0</v>
      </c>
      <c r="F18" s="103">
        <v>0</v>
      </c>
      <c r="G18" s="103">
        <v>0</v>
      </c>
      <c r="H18" s="603"/>
      <c r="I18" s="104">
        <v>0</v>
      </c>
      <c r="J18" s="604">
        <f>C18+D18+E18+F18+G18+I18</f>
        <v>0</v>
      </c>
      <c r="L18" s="106"/>
    </row>
    <row r="19" spans="1:12" s="105" customFormat="1" ht="24.95" hidden="1" customHeight="1">
      <c r="A19" s="605" t="s">
        <v>1049</v>
      </c>
      <c r="B19" s="602" t="s">
        <v>1050</v>
      </c>
      <c r="C19" s="606">
        <v>0</v>
      </c>
      <c r="D19" s="606">
        <v>0</v>
      </c>
      <c r="E19" s="606"/>
      <c r="F19" s="606">
        <v>0</v>
      </c>
      <c r="G19" s="606"/>
      <c r="H19" s="606"/>
      <c r="I19" s="606"/>
      <c r="J19" s="607"/>
      <c r="L19" s="106"/>
    </row>
    <row r="20" spans="1:12" s="105" customFormat="1" ht="24.95" hidden="1" customHeight="1">
      <c r="A20" s="605" t="s">
        <v>1051</v>
      </c>
      <c r="B20" s="602" t="s">
        <v>1052</v>
      </c>
      <c r="C20" s="606"/>
      <c r="D20" s="606"/>
      <c r="E20" s="606"/>
      <c r="F20" s="606"/>
      <c r="G20" s="606"/>
      <c r="H20" s="606"/>
      <c r="I20" s="606"/>
      <c r="J20" s="607"/>
      <c r="L20" s="106"/>
    </row>
    <row r="21" spans="1:12" s="105" customFormat="1" ht="20.100000000000001" customHeight="1">
      <c r="A21" s="924" t="s">
        <v>1053</v>
      </c>
      <c r="B21" s="925"/>
      <c r="C21" s="925"/>
      <c r="D21" s="925"/>
      <c r="E21" s="925"/>
      <c r="F21" s="925"/>
      <c r="G21" s="925"/>
      <c r="H21" s="925"/>
      <c r="I21" s="925"/>
      <c r="J21" s="926"/>
      <c r="L21" s="106"/>
    </row>
    <row r="22" spans="1:12" s="105" customFormat="1" ht="24.75" customHeight="1">
      <c r="A22" s="601" t="s">
        <v>1054</v>
      </c>
      <c r="B22" s="602">
        <v>3210</v>
      </c>
      <c r="C22" s="103">
        <f t="shared" ref="C22:J22" si="0">SUM(C23:C129)</f>
        <v>0</v>
      </c>
      <c r="D22" s="103">
        <f t="shared" si="0"/>
        <v>0</v>
      </c>
      <c r="E22" s="103">
        <f t="shared" si="0"/>
        <v>0</v>
      </c>
      <c r="F22" s="103">
        <f t="shared" si="0"/>
        <v>0</v>
      </c>
      <c r="G22" s="103">
        <f t="shared" si="0"/>
        <v>0</v>
      </c>
      <c r="H22" s="103">
        <f t="shared" si="0"/>
        <v>0</v>
      </c>
      <c r="I22" s="103">
        <f t="shared" si="0"/>
        <v>0</v>
      </c>
      <c r="J22" s="604">
        <f t="shared" si="0"/>
        <v>0</v>
      </c>
      <c r="L22" s="106"/>
    </row>
    <row r="23" spans="1:12" s="107" customFormat="1" ht="20.100000000000001" customHeight="1">
      <c r="A23" s="608" t="s">
        <v>1055</v>
      </c>
      <c r="B23" s="602">
        <v>3211</v>
      </c>
      <c r="C23" s="103" t="s">
        <v>1056</v>
      </c>
      <c r="D23" s="103" t="s">
        <v>1056</v>
      </c>
      <c r="E23" s="103" t="s">
        <v>1056</v>
      </c>
      <c r="F23" s="103" t="s">
        <v>1056</v>
      </c>
      <c r="G23" s="609">
        <v>0</v>
      </c>
      <c r="H23" s="610">
        <v>0</v>
      </c>
      <c r="I23" s="103" t="s">
        <v>1056</v>
      </c>
      <c r="J23" s="604">
        <f t="shared" ref="J23:J129" si="1">SUM(C23:I23)</f>
        <v>0</v>
      </c>
      <c r="L23" s="106"/>
    </row>
    <row r="24" spans="1:12" s="105" customFormat="1" ht="20.100000000000001" customHeight="1">
      <c r="A24" s="608" t="s">
        <v>1057</v>
      </c>
      <c r="B24" s="602">
        <v>3212</v>
      </c>
      <c r="C24" s="103" t="s">
        <v>1056</v>
      </c>
      <c r="D24" s="103" t="s">
        <v>1056</v>
      </c>
      <c r="E24" s="103">
        <v>0</v>
      </c>
      <c r="F24" s="103" t="s">
        <v>1056</v>
      </c>
      <c r="G24" s="103" t="s">
        <v>1056</v>
      </c>
      <c r="H24" s="610">
        <v>0</v>
      </c>
      <c r="I24" s="104">
        <v>0</v>
      </c>
      <c r="J24" s="604">
        <f t="shared" si="1"/>
        <v>0</v>
      </c>
      <c r="L24" s="106"/>
    </row>
    <row r="25" spans="1:12" s="105" customFormat="1" ht="33" customHeight="1">
      <c r="A25" s="608" t="s">
        <v>1058</v>
      </c>
      <c r="B25" s="602">
        <v>3213</v>
      </c>
      <c r="C25" s="103" t="s">
        <v>1056</v>
      </c>
      <c r="D25" s="103" t="s">
        <v>1056</v>
      </c>
      <c r="E25" s="103">
        <v>0</v>
      </c>
      <c r="F25" s="103" t="s">
        <v>1056</v>
      </c>
      <c r="G25" s="104">
        <v>0</v>
      </c>
      <c r="H25" s="610">
        <v>0</v>
      </c>
      <c r="I25" s="103" t="s">
        <v>1056</v>
      </c>
      <c r="J25" s="604">
        <f t="shared" si="1"/>
        <v>0</v>
      </c>
      <c r="L25" s="106"/>
    </row>
    <row r="26" spans="1:12" s="105" customFormat="1" ht="20.100000000000001" customHeight="1">
      <c r="A26" s="608" t="s">
        <v>1059</v>
      </c>
      <c r="B26" s="602">
        <v>3214</v>
      </c>
      <c r="C26" s="103">
        <v>0</v>
      </c>
      <c r="D26" s="103" t="s">
        <v>1056</v>
      </c>
      <c r="E26" s="103">
        <v>0</v>
      </c>
      <c r="F26" s="103" t="s">
        <v>1056</v>
      </c>
      <c r="G26" s="104" t="s">
        <v>1056</v>
      </c>
      <c r="H26" s="610">
        <v>0</v>
      </c>
      <c r="I26" s="103" t="s">
        <v>1056</v>
      </c>
      <c r="J26" s="604">
        <f t="shared" si="1"/>
        <v>0</v>
      </c>
      <c r="L26" s="106"/>
    </row>
    <row r="27" spans="1:12" s="105" customFormat="1" ht="24" customHeight="1">
      <c r="A27" s="608" t="s">
        <v>1060</v>
      </c>
      <c r="B27" s="602">
        <v>3215</v>
      </c>
      <c r="C27" s="103">
        <v>0</v>
      </c>
      <c r="D27" s="103" t="s">
        <v>1056</v>
      </c>
      <c r="E27" s="103">
        <v>0</v>
      </c>
      <c r="F27" s="103" t="s">
        <v>1056</v>
      </c>
      <c r="G27" s="104">
        <v>0</v>
      </c>
      <c r="H27" s="610">
        <v>0</v>
      </c>
      <c r="I27" s="103" t="s">
        <v>1056</v>
      </c>
      <c r="J27" s="604">
        <f t="shared" si="1"/>
        <v>0</v>
      </c>
      <c r="L27" s="106"/>
    </row>
    <row r="28" spans="1:12" s="105" customFormat="1" ht="26.25" customHeight="1">
      <c r="A28" s="608" t="s">
        <v>1061</v>
      </c>
      <c r="B28" s="602">
        <v>3216</v>
      </c>
      <c r="C28" s="103">
        <v>0</v>
      </c>
      <c r="D28" s="103">
        <v>0</v>
      </c>
      <c r="E28" s="103">
        <v>0</v>
      </c>
      <c r="F28" s="103">
        <v>0</v>
      </c>
      <c r="G28" s="103">
        <v>0</v>
      </c>
      <c r="H28" s="611"/>
      <c r="I28" s="104">
        <v>0</v>
      </c>
      <c r="J28" s="604">
        <f t="shared" si="1"/>
        <v>0</v>
      </c>
      <c r="L28" s="106"/>
    </row>
    <row r="29" spans="1:12" s="105" customFormat="1" ht="20.100000000000001" customHeight="1">
      <c r="A29" s="608" t="s">
        <v>1062</v>
      </c>
      <c r="B29" s="602">
        <v>3217</v>
      </c>
      <c r="C29" s="103" t="s">
        <v>1056</v>
      </c>
      <c r="D29" s="103">
        <v>0</v>
      </c>
      <c r="E29" s="103" t="s">
        <v>1056</v>
      </c>
      <c r="F29" s="103" t="s">
        <v>1056</v>
      </c>
      <c r="G29" s="103" t="s">
        <v>1056</v>
      </c>
      <c r="H29" s="103">
        <v>0</v>
      </c>
      <c r="I29" s="103" t="s">
        <v>1056</v>
      </c>
      <c r="J29" s="604">
        <f t="shared" si="1"/>
        <v>0</v>
      </c>
      <c r="L29" s="106"/>
    </row>
    <row r="30" spans="1:12" s="105" customFormat="1" ht="20.100000000000001" hidden="1" customHeight="1">
      <c r="A30" s="608"/>
      <c r="B30" s="602"/>
      <c r="C30" s="103"/>
      <c r="D30" s="103"/>
      <c r="E30" s="103"/>
      <c r="F30" s="103"/>
      <c r="G30" s="103"/>
      <c r="H30" s="603"/>
      <c r="I30" s="103"/>
      <c r="J30" s="604"/>
      <c r="L30" s="106"/>
    </row>
    <row r="31" spans="1:12" s="105" customFormat="1" ht="20.100000000000001" hidden="1" customHeight="1">
      <c r="A31" s="608"/>
      <c r="B31" s="602"/>
      <c r="C31" s="103"/>
      <c r="D31" s="103"/>
      <c r="E31" s="103"/>
      <c r="F31" s="103"/>
      <c r="G31" s="103"/>
      <c r="H31" s="603"/>
      <c r="I31" s="103"/>
      <c r="J31" s="604"/>
      <c r="L31" s="106"/>
    </row>
    <row r="32" spans="1:12" s="105" customFormat="1" ht="20.100000000000001" hidden="1" customHeight="1">
      <c r="A32" s="608"/>
      <c r="B32" s="602"/>
      <c r="C32" s="103"/>
      <c r="D32" s="103"/>
      <c r="E32" s="103"/>
      <c r="F32" s="103"/>
      <c r="G32" s="103"/>
      <c r="H32" s="603"/>
      <c r="I32" s="103"/>
      <c r="J32" s="604"/>
      <c r="L32" s="106"/>
    </row>
    <row r="33" spans="1:12" s="105" customFormat="1" ht="20.100000000000001" hidden="1" customHeight="1">
      <c r="A33" s="608"/>
      <c r="B33" s="602"/>
      <c r="C33" s="103"/>
      <c r="D33" s="103"/>
      <c r="E33" s="103"/>
      <c r="F33" s="103"/>
      <c r="G33" s="103"/>
      <c r="H33" s="603"/>
      <c r="I33" s="103"/>
      <c r="J33" s="604"/>
      <c r="L33" s="106"/>
    </row>
    <row r="34" spans="1:12" s="105" customFormat="1" ht="20.100000000000001" hidden="1" customHeight="1">
      <c r="A34" s="608"/>
      <c r="B34" s="602"/>
      <c r="C34" s="103"/>
      <c r="D34" s="103"/>
      <c r="E34" s="103"/>
      <c r="F34" s="103"/>
      <c r="G34" s="103"/>
      <c r="H34" s="603"/>
      <c r="I34" s="103"/>
      <c r="J34" s="604"/>
      <c r="L34" s="106"/>
    </row>
    <row r="35" spans="1:12" s="105" customFormat="1" ht="20.100000000000001" hidden="1" customHeight="1">
      <c r="A35" s="608"/>
      <c r="B35" s="602"/>
      <c r="C35" s="103"/>
      <c r="D35" s="103"/>
      <c r="E35" s="103"/>
      <c r="F35" s="103"/>
      <c r="G35" s="103"/>
      <c r="H35" s="603"/>
      <c r="I35" s="103"/>
      <c r="J35" s="604"/>
      <c r="L35" s="106"/>
    </row>
    <row r="36" spans="1:12" s="105" customFormat="1" ht="20.100000000000001" hidden="1" customHeight="1">
      <c r="A36" s="608"/>
      <c r="B36" s="602"/>
      <c r="C36" s="103"/>
      <c r="D36" s="103"/>
      <c r="E36" s="103"/>
      <c r="F36" s="103"/>
      <c r="G36" s="103"/>
      <c r="H36" s="603"/>
      <c r="I36" s="103"/>
      <c r="J36" s="604"/>
      <c r="L36" s="106"/>
    </row>
    <row r="37" spans="1:12" s="105" customFormat="1" ht="20.100000000000001" hidden="1" customHeight="1">
      <c r="A37" s="608"/>
      <c r="B37" s="602"/>
      <c r="C37" s="103"/>
      <c r="D37" s="103"/>
      <c r="E37" s="103"/>
      <c r="F37" s="103"/>
      <c r="G37" s="103"/>
      <c r="H37" s="603"/>
      <c r="I37" s="103"/>
      <c r="J37" s="604"/>
      <c r="L37" s="106"/>
    </row>
    <row r="38" spans="1:12" s="105" customFormat="1" ht="20.100000000000001" hidden="1" customHeight="1">
      <c r="A38" s="608"/>
      <c r="B38" s="602"/>
      <c r="C38" s="103"/>
      <c r="D38" s="103"/>
      <c r="E38" s="103"/>
      <c r="F38" s="103"/>
      <c r="G38" s="103"/>
      <c r="H38" s="603"/>
      <c r="I38" s="103"/>
      <c r="J38" s="604"/>
      <c r="L38" s="106"/>
    </row>
    <row r="39" spans="1:12" s="105" customFormat="1" ht="20.100000000000001" hidden="1" customHeight="1">
      <c r="A39" s="608"/>
      <c r="B39" s="602"/>
      <c r="C39" s="103"/>
      <c r="D39" s="103"/>
      <c r="E39" s="103"/>
      <c r="F39" s="103"/>
      <c r="G39" s="103"/>
      <c r="H39" s="603"/>
      <c r="I39" s="103"/>
      <c r="J39" s="604"/>
      <c r="L39" s="106"/>
    </row>
    <row r="40" spans="1:12" s="105" customFormat="1" ht="20.100000000000001" hidden="1" customHeight="1">
      <c r="A40" s="608"/>
      <c r="B40" s="602"/>
      <c r="C40" s="103"/>
      <c r="D40" s="103"/>
      <c r="E40" s="103"/>
      <c r="F40" s="103"/>
      <c r="G40" s="103"/>
      <c r="H40" s="603"/>
      <c r="I40" s="103"/>
      <c r="J40" s="604"/>
      <c r="L40" s="106"/>
    </row>
    <row r="41" spans="1:12" s="105" customFormat="1" ht="20.100000000000001" hidden="1" customHeight="1">
      <c r="A41" s="608"/>
      <c r="B41" s="602"/>
      <c r="C41" s="103"/>
      <c r="D41" s="103"/>
      <c r="E41" s="103"/>
      <c r="F41" s="103"/>
      <c r="G41" s="103"/>
      <c r="H41" s="603"/>
      <c r="I41" s="103"/>
      <c r="J41" s="604"/>
      <c r="L41" s="106"/>
    </row>
    <row r="42" spans="1:12" s="105" customFormat="1" ht="20.100000000000001" hidden="1" customHeight="1">
      <c r="A42" s="608"/>
      <c r="B42" s="602"/>
      <c r="C42" s="103"/>
      <c r="D42" s="103"/>
      <c r="E42" s="103"/>
      <c r="F42" s="103"/>
      <c r="G42" s="103"/>
      <c r="H42" s="603"/>
      <c r="I42" s="103"/>
      <c r="J42" s="604"/>
      <c r="L42" s="106"/>
    </row>
    <row r="43" spans="1:12" s="105" customFormat="1" ht="20.100000000000001" hidden="1" customHeight="1">
      <c r="A43" s="608"/>
      <c r="B43" s="602"/>
      <c r="C43" s="103"/>
      <c r="D43" s="103"/>
      <c r="E43" s="103"/>
      <c r="F43" s="103"/>
      <c r="G43" s="103"/>
      <c r="H43" s="603"/>
      <c r="I43" s="103"/>
      <c r="J43" s="604"/>
      <c r="L43" s="106"/>
    </row>
    <row r="44" spans="1:12" s="105" customFormat="1" ht="20.100000000000001" hidden="1" customHeight="1">
      <c r="A44" s="608"/>
      <c r="B44" s="602"/>
      <c r="C44" s="103"/>
      <c r="D44" s="103"/>
      <c r="E44" s="103"/>
      <c r="F44" s="103"/>
      <c r="G44" s="103"/>
      <c r="H44" s="603"/>
      <c r="I44" s="103"/>
      <c r="J44" s="604"/>
      <c r="L44" s="106"/>
    </row>
    <row r="45" spans="1:12" s="105" customFormat="1" ht="20.100000000000001" hidden="1" customHeight="1">
      <c r="A45" s="608"/>
      <c r="B45" s="602"/>
      <c r="C45" s="103"/>
      <c r="D45" s="103"/>
      <c r="E45" s="103"/>
      <c r="F45" s="103"/>
      <c r="G45" s="103"/>
      <c r="H45" s="603"/>
      <c r="I45" s="103"/>
      <c r="J45" s="604"/>
      <c r="L45" s="106"/>
    </row>
    <row r="46" spans="1:12" s="105" customFormat="1" ht="20.100000000000001" hidden="1" customHeight="1">
      <c r="A46" s="608"/>
      <c r="B46" s="602"/>
      <c r="C46" s="103"/>
      <c r="D46" s="103"/>
      <c r="E46" s="103"/>
      <c r="F46" s="103"/>
      <c r="G46" s="103"/>
      <c r="H46" s="603"/>
      <c r="I46" s="103"/>
      <c r="J46" s="604"/>
      <c r="L46" s="106"/>
    </row>
    <row r="47" spans="1:12" s="105" customFormat="1" ht="20.100000000000001" hidden="1" customHeight="1">
      <c r="A47" s="608"/>
      <c r="B47" s="602"/>
      <c r="C47" s="103"/>
      <c r="D47" s="103"/>
      <c r="E47" s="103"/>
      <c r="F47" s="103"/>
      <c r="G47" s="103"/>
      <c r="H47" s="603"/>
      <c r="I47" s="103"/>
      <c r="J47" s="604"/>
      <c r="L47" s="106"/>
    </row>
    <row r="48" spans="1:12" s="105" customFormat="1" ht="20.100000000000001" hidden="1" customHeight="1">
      <c r="A48" s="608"/>
      <c r="B48" s="602"/>
      <c r="C48" s="103"/>
      <c r="D48" s="103"/>
      <c r="E48" s="103"/>
      <c r="F48" s="103"/>
      <c r="G48" s="103"/>
      <c r="H48" s="603"/>
      <c r="I48" s="103"/>
      <c r="J48" s="604"/>
      <c r="L48" s="106"/>
    </row>
    <row r="49" spans="1:12" s="105" customFormat="1" ht="20.100000000000001" hidden="1" customHeight="1">
      <c r="A49" s="608"/>
      <c r="B49" s="602"/>
      <c r="C49" s="103"/>
      <c r="D49" s="103"/>
      <c r="E49" s="103"/>
      <c r="F49" s="103"/>
      <c r="G49" s="103"/>
      <c r="H49" s="603"/>
      <c r="I49" s="103"/>
      <c r="J49" s="604"/>
      <c r="L49" s="106"/>
    </row>
    <row r="50" spans="1:12" s="105" customFormat="1" ht="20.100000000000001" hidden="1" customHeight="1">
      <c r="A50" s="608"/>
      <c r="B50" s="602"/>
      <c r="C50" s="103"/>
      <c r="D50" s="103"/>
      <c r="E50" s="103"/>
      <c r="F50" s="103"/>
      <c r="G50" s="103"/>
      <c r="H50" s="603"/>
      <c r="I50" s="103"/>
      <c r="J50" s="604"/>
      <c r="L50" s="106"/>
    </row>
    <row r="51" spans="1:12" s="105" customFormat="1" ht="20.100000000000001" hidden="1" customHeight="1">
      <c r="A51" s="608"/>
      <c r="B51" s="602"/>
      <c r="C51" s="103"/>
      <c r="D51" s="103"/>
      <c r="E51" s="103"/>
      <c r="F51" s="103"/>
      <c r="G51" s="103"/>
      <c r="H51" s="603"/>
      <c r="I51" s="103"/>
      <c r="J51" s="604"/>
      <c r="L51" s="106"/>
    </row>
    <row r="52" spans="1:12" s="105" customFormat="1" ht="20.100000000000001" hidden="1" customHeight="1">
      <c r="A52" s="608"/>
      <c r="B52" s="602"/>
      <c r="C52" s="103"/>
      <c r="D52" s="103"/>
      <c r="E52" s="103"/>
      <c r="F52" s="103"/>
      <c r="G52" s="103"/>
      <c r="H52" s="603"/>
      <c r="I52" s="103"/>
      <c r="J52" s="604"/>
      <c r="L52" s="106"/>
    </row>
    <row r="53" spans="1:12" s="105" customFormat="1" ht="20.100000000000001" hidden="1" customHeight="1">
      <c r="A53" s="608"/>
      <c r="B53" s="602"/>
      <c r="C53" s="103"/>
      <c r="D53" s="103"/>
      <c r="E53" s="103"/>
      <c r="F53" s="103"/>
      <c r="G53" s="103"/>
      <c r="H53" s="603"/>
      <c r="I53" s="103"/>
      <c r="J53" s="604"/>
      <c r="L53" s="106"/>
    </row>
    <row r="54" spans="1:12" s="105" customFormat="1" ht="20.100000000000001" hidden="1" customHeight="1">
      <c r="A54" s="608"/>
      <c r="B54" s="602"/>
      <c r="C54" s="103"/>
      <c r="D54" s="103"/>
      <c r="E54" s="103"/>
      <c r="F54" s="103"/>
      <c r="G54" s="103"/>
      <c r="H54" s="603"/>
      <c r="I54" s="103"/>
      <c r="J54" s="604"/>
      <c r="L54" s="106"/>
    </row>
    <row r="55" spans="1:12" s="105" customFormat="1" ht="20.100000000000001" hidden="1" customHeight="1">
      <c r="A55" s="608"/>
      <c r="B55" s="602"/>
      <c r="C55" s="103"/>
      <c r="D55" s="103"/>
      <c r="E55" s="103"/>
      <c r="F55" s="103"/>
      <c r="G55" s="103"/>
      <c r="H55" s="603"/>
      <c r="I55" s="103"/>
      <c r="J55" s="604"/>
      <c r="L55" s="106"/>
    </row>
    <row r="56" spans="1:12" s="105" customFormat="1" ht="20.100000000000001" hidden="1" customHeight="1">
      <c r="A56" s="608"/>
      <c r="B56" s="602"/>
      <c r="C56" s="103"/>
      <c r="D56" s="103"/>
      <c r="E56" s="103"/>
      <c r="F56" s="103"/>
      <c r="G56" s="103"/>
      <c r="H56" s="603"/>
      <c r="I56" s="103"/>
      <c r="J56" s="604"/>
      <c r="L56" s="106"/>
    </row>
    <row r="57" spans="1:12" s="105" customFormat="1" ht="20.100000000000001" hidden="1" customHeight="1">
      <c r="A57" s="608"/>
      <c r="B57" s="602"/>
      <c r="C57" s="103"/>
      <c r="D57" s="103"/>
      <c r="E57" s="103"/>
      <c r="F57" s="103"/>
      <c r="G57" s="103"/>
      <c r="H57" s="603"/>
      <c r="I57" s="103"/>
      <c r="J57" s="604"/>
      <c r="L57" s="106"/>
    </row>
    <row r="58" spans="1:12" s="105" customFormat="1" ht="20.100000000000001" hidden="1" customHeight="1">
      <c r="A58" s="608"/>
      <c r="B58" s="602"/>
      <c r="C58" s="103"/>
      <c r="D58" s="103"/>
      <c r="E58" s="103"/>
      <c r="F58" s="103"/>
      <c r="G58" s="103"/>
      <c r="H58" s="603"/>
      <c r="I58" s="103"/>
      <c r="J58" s="604"/>
      <c r="L58" s="106"/>
    </row>
    <row r="59" spans="1:12" s="105" customFormat="1" ht="20.100000000000001" hidden="1" customHeight="1">
      <c r="A59" s="608"/>
      <c r="B59" s="602"/>
      <c r="C59" s="103"/>
      <c r="D59" s="103"/>
      <c r="E59" s="103"/>
      <c r="F59" s="103"/>
      <c r="G59" s="103"/>
      <c r="H59" s="603"/>
      <c r="I59" s="103"/>
      <c r="J59" s="604"/>
      <c r="L59" s="106"/>
    </row>
    <row r="60" spans="1:12" s="105" customFormat="1" ht="20.100000000000001" hidden="1" customHeight="1">
      <c r="A60" s="608"/>
      <c r="B60" s="602"/>
      <c r="C60" s="103"/>
      <c r="D60" s="103"/>
      <c r="E60" s="103"/>
      <c r="F60" s="103"/>
      <c r="G60" s="103"/>
      <c r="H60" s="603"/>
      <c r="I60" s="103"/>
      <c r="J60" s="604"/>
      <c r="L60" s="106"/>
    </row>
    <row r="61" spans="1:12" s="105" customFormat="1" ht="20.100000000000001" hidden="1" customHeight="1">
      <c r="A61" s="608"/>
      <c r="B61" s="602"/>
      <c r="C61" s="103"/>
      <c r="D61" s="103"/>
      <c r="E61" s="103"/>
      <c r="F61" s="103"/>
      <c r="G61" s="103"/>
      <c r="H61" s="603"/>
      <c r="I61" s="103"/>
      <c r="J61" s="604"/>
      <c r="L61" s="106"/>
    </row>
    <row r="62" spans="1:12" s="105" customFormat="1" ht="20.100000000000001" hidden="1" customHeight="1">
      <c r="A62" s="608"/>
      <c r="B62" s="602"/>
      <c r="C62" s="103"/>
      <c r="D62" s="103"/>
      <c r="E62" s="103"/>
      <c r="F62" s="103"/>
      <c r="G62" s="103"/>
      <c r="H62" s="603"/>
      <c r="I62" s="103"/>
      <c r="J62" s="604"/>
      <c r="L62" s="106"/>
    </row>
    <row r="63" spans="1:12" s="105" customFormat="1" ht="20.100000000000001" hidden="1" customHeight="1">
      <c r="A63" s="608"/>
      <c r="B63" s="602"/>
      <c r="C63" s="103"/>
      <c r="D63" s="103"/>
      <c r="E63" s="103"/>
      <c r="F63" s="103"/>
      <c r="G63" s="103"/>
      <c r="H63" s="603"/>
      <c r="I63" s="103"/>
      <c r="J63" s="604"/>
      <c r="L63" s="106"/>
    </row>
    <row r="64" spans="1:12" s="105" customFormat="1" ht="20.100000000000001" hidden="1" customHeight="1">
      <c r="A64" s="608"/>
      <c r="B64" s="602"/>
      <c r="C64" s="103"/>
      <c r="D64" s="103"/>
      <c r="E64" s="103"/>
      <c r="F64" s="103"/>
      <c r="G64" s="103"/>
      <c r="H64" s="603"/>
      <c r="I64" s="103"/>
      <c r="J64" s="604"/>
      <c r="L64" s="106"/>
    </row>
    <row r="65" spans="1:12" s="105" customFormat="1" ht="20.100000000000001" hidden="1" customHeight="1">
      <c r="A65" s="608"/>
      <c r="B65" s="602"/>
      <c r="C65" s="103"/>
      <c r="D65" s="103"/>
      <c r="E65" s="103"/>
      <c r="F65" s="103"/>
      <c r="G65" s="103"/>
      <c r="H65" s="603"/>
      <c r="I65" s="103"/>
      <c r="J65" s="604"/>
      <c r="L65" s="106"/>
    </row>
    <row r="66" spans="1:12" s="105" customFormat="1" ht="20.100000000000001" hidden="1" customHeight="1">
      <c r="A66" s="608"/>
      <c r="B66" s="602"/>
      <c r="C66" s="103"/>
      <c r="D66" s="103"/>
      <c r="E66" s="103"/>
      <c r="F66" s="103"/>
      <c r="G66" s="103"/>
      <c r="H66" s="603"/>
      <c r="I66" s="103"/>
      <c r="J66" s="604"/>
      <c r="L66" s="106"/>
    </row>
    <row r="67" spans="1:12" s="105" customFormat="1" ht="20.100000000000001" hidden="1" customHeight="1">
      <c r="A67" s="608"/>
      <c r="B67" s="602"/>
      <c r="C67" s="103"/>
      <c r="D67" s="103"/>
      <c r="E67" s="103"/>
      <c r="F67" s="103"/>
      <c r="G67" s="103"/>
      <c r="H67" s="603"/>
      <c r="I67" s="103"/>
      <c r="J67" s="604"/>
      <c r="L67" s="106"/>
    </row>
    <row r="68" spans="1:12" s="105" customFormat="1" ht="20.100000000000001" hidden="1" customHeight="1">
      <c r="A68" s="608"/>
      <c r="B68" s="602"/>
      <c r="C68" s="103"/>
      <c r="D68" s="103"/>
      <c r="E68" s="103"/>
      <c r="F68" s="103"/>
      <c r="G68" s="103"/>
      <c r="H68" s="603"/>
      <c r="I68" s="103"/>
      <c r="J68" s="604"/>
      <c r="L68" s="106"/>
    </row>
    <row r="69" spans="1:12" s="105" customFormat="1" ht="20.100000000000001" hidden="1" customHeight="1">
      <c r="A69" s="608"/>
      <c r="B69" s="602"/>
      <c r="C69" s="103"/>
      <c r="D69" s="103"/>
      <c r="E69" s="103"/>
      <c r="F69" s="103"/>
      <c r="G69" s="103"/>
      <c r="H69" s="603"/>
      <c r="I69" s="103"/>
      <c r="J69" s="604"/>
      <c r="L69" s="106"/>
    </row>
    <row r="70" spans="1:12" s="105" customFormat="1" ht="20.100000000000001" hidden="1" customHeight="1">
      <c r="A70" s="608"/>
      <c r="B70" s="602"/>
      <c r="C70" s="103"/>
      <c r="D70" s="103"/>
      <c r="E70" s="103"/>
      <c r="F70" s="103"/>
      <c r="G70" s="103"/>
      <c r="H70" s="603"/>
      <c r="I70" s="103"/>
      <c r="J70" s="604"/>
      <c r="L70" s="106"/>
    </row>
    <row r="71" spans="1:12" s="105" customFormat="1" ht="20.100000000000001" hidden="1" customHeight="1">
      <c r="A71" s="608"/>
      <c r="B71" s="602"/>
      <c r="C71" s="103"/>
      <c r="D71" s="103"/>
      <c r="E71" s="103"/>
      <c r="F71" s="103"/>
      <c r="G71" s="103"/>
      <c r="H71" s="603"/>
      <c r="I71" s="103"/>
      <c r="J71" s="604"/>
      <c r="L71" s="106"/>
    </row>
    <row r="72" spans="1:12" s="105" customFormat="1" ht="20.100000000000001" hidden="1" customHeight="1">
      <c r="A72" s="608"/>
      <c r="B72" s="602"/>
      <c r="C72" s="103"/>
      <c r="D72" s="103"/>
      <c r="E72" s="103"/>
      <c r="F72" s="103"/>
      <c r="G72" s="103"/>
      <c r="H72" s="603"/>
      <c r="I72" s="103"/>
      <c r="J72" s="604"/>
      <c r="L72" s="106"/>
    </row>
    <row r="73" spans="1:12" s="105" customFormat="1" ht="20.100000000000001" hidden="1" customHeight="1">
      <c r="A73" s="608"/>
      <c r="B73" s="602"/>
      <c r="C73" s="103"/>
      <c r="D73" s="103"/>
      <c r="E73" s="103"/>
      <c r="F73" s="103"/>
      <c r="G73" s="103"/>
      <c r="H73" s="603"/>
      <c r="I73" s="103"/>
      <c r="J73" s="604"/>
      <c r="L73" s="106"/>
    </row>
    <row r="74" spans="1:12" s="105" customFormat="1" ht="20.100000000000001" hidden="1" customHeight="1">
      <c r="A74" s="608"/>
      <c r="B74" s="602"/>
      <c r="C74" s="103"/>
      <c r="D74" s="103"/>
      <c r="E74" s="103"/>
      <c r="F74" s="103"/>
      <c r="G74" s="103"/>
      <c r="H74" s="603"/>
      <c r="I74" s="103"/>
      <c r="J74" s="604"/>
      <c r="L74" s="106"/>
    </row>
    <row r="75" spans="1:12" s="105" customFormat="1" ht="20.100000000000001" hidden="1" customHeight="1">
      <c r="A75" s="608"/>
      <c r="B75" s="602"/>
      <c r="C75" s="103"/>
      <c r="D75" s="103"/>
      <c r="E75" s="103"/>
      <c r="F75" s="103"/>
      <c r="G75" s="103"/>
      <c r="H75" s="603"/>
      <c r="I75" s="103"/>
      <c r="J75" s="604"/>
      <c r="L75" s="106"/>
    </row>
    <row r="76" spans="1:12" s="105" customFormat="1" ht="20.100000000000001" hidden="1" customHeight="1">
      <c r="A76" s="608"/>
      <c r="B76" s="602"/>
      <c r="C76" s="103"/>
      <c r="D76" s="103"/>
      <c r="E76" s="103"/>
      <c r="F76" s="103"/>
      <c r="G76" s="103"/>
      <c r="H76" s="603"/>
      <c r="I76" s="103"/>
      <c r="J76" s="604"/>
      <c r="L76" s="106"/>
    </row>
    <row r="77" spans="1:12" s="105" customFormat="1" ht="20.100000000000001" hidden="1" customHeight="1">
      <c r="A77" s="608"/>
      <c r="B77" s="602"/>
      <c r="C77" s="103"/>
      <c r="D77" s="103"/>
      <c r="E77" s="103"/>
      <c r="F77" s="103"/>
      <c r="G77" s="103"/>
      <c r="H77" s="603"/>
      <c r="I77" s="103"/>
      <c r="J77" s="604"/>
      <c r="L77" s="106"/>
    </row>
    <row r="78" spans="1:12" s="105" customFormat="1" ht="20.100000000000001" hidden="1" customHeight="1">
      <c r="A78" s="608"/>
      <c r="B78" s="602"/>
      <c r="C78" s="103"/>
      <c r="D78" s="103"/>
      <c r="E78" s="103"/>
      <c r="F78" s="103"/>
      <c r="G78" s="103"/>
      <c r="H78" s="603"/>
      <c r="I78" s="103"/>
      <c r="J78" s="604"/>
      <c r="L78" s="106"/>
    </row>
    <row r="79" spans="1:12" s="105" customFormat="1" ht="20.100000000000001" hidden="1" customHeight="1">
      <c r="A79" s="608"/>
      <c r="B79" s="602"/>
      <c r="C79" s="103"/>
      <c r="D79" s="103"/>
      <c r="E79" s="103"/>
      <c r="F79" s="103"/>
      <c r="G79" s="103"/>
      <c r="H79" s="603"/>
      <c r="I79" s="103"/>
      <c r="J79" s="604"/>
      <c r="L79" s="106"/>
    </row>
    <row r="80" spans="1:12" s="105" customFormat="1" ht="20.100000000000001" hidden="1" customHeight="1">
      <c r="A80" s="608"/>
      <c r="B80" s="602"/>
      <c r="C80" s="103"/>
      <c r="D80" s="103"/>
      <c r="E80" s="103"/>
      <c r="F80" s="103"/>
      <c r="G80" s="103"/>
      <c r="H80" s="603"/>
      <c r="I80" s="103"/>
      <c r="J80" s="604"/>
      <c r="L80" s="106"/>
    </row>
    <row r="81" spans="1:12" s="105" customFormat="1" ht="20.100000000000001" hidden="1" customHeight="1">
      <c r="A81" s="608"/>
      <c r="B81" s="602"/>
      <c r="C81" s="103"/>
      <c r="D81" s="103"/>
      <c r="E81" s="103"/>
      <c r="F81" s="103"/>
      <c r="G81" s="103"/>
      <c r="H81" s="603"/>
      <c r="I81" s="103"/>
      <c r="J81" s="604"/>
      <c r="L81" s="106"/>
    </row>
    <row r="82" spans="1:12" s="105" customFormat="1" ht="20.100000000000001" hidden="1" customHeight="1">
      <c r="A82" s="608"/>
      <c r="B82" s="602"/>
      <c r="C82" s="103"/>
      <c r="D82" s="103"/>
      <c r="E82" s="103"/>
      <c r="F82" s="103"/>
      <c r="G82" s="103"/>
      <c r="H82" s="603"/>
      <c r="I82" s="103"/>
      <c r="J82" s="604"/>
      <c r="L82" s="106"/>
    </row>
    <row r="83" spans="1:12" s="105" customFormat="1" ht="20.100000000000001" hidden="1" customHeight="1">
      <c r="A83" s="608"/>
      <c r="B83" s="602"/>
      <c r="C83" s="103"/>
      <c r="D83" s="103"/>
      <c r="E83" s="103"/>
      <c r="F83" s="103"/>
      <c r="G83" s="103"/>
      <c r="H83" s="603"/>
      <c r="I83" s="103"/>
      <c r="J83" s="604"/>
      <c r="L83" s="106"/>
    </row>
    <row r="84" spans="1:12" s="105" customFormat="1" ht="20.100000000000001" hidden="1" customHeight="1">
      <c r="A84" s="608"/>
      <c r="B84" s="602"/>
      <c r="C84" s="103"/>
      <c r="D84" s="103"/>
      <c r="E84" s="103"/>
      <c r="F84" s="103"/>
      <c r="G84" s="103"/>
      <c r="H84" s="603"/>
      <c r="I84" s="103"/>
      <c r="J84" s="604"/>
      <c r="L84" s="106"/>
    </row>
    <row r="85" spans="1:12" s="105" customFormat="1" ht="20.100000000000001" hidden="1" customHeight="1">
      <c r="A85" s="608"/>
      <c r="B85" s="602"/>
      <c r="C85" s="103"/>
      <c r="D85" s="103"/>
      <c r="E85" s="103"/>
      <c r="F85" s="103"/>
      <c r="G85" s="103"/>
      <c r="H85" s="603"/>
      <c r="I85" s="103"/>
      <c r="J85" s="604"/>
      <c r="L85" s="106"/>
    </row>
    <row r="86" spans="1:12" s="105" customFormat="1" ht="20.100000000000001" hidden="1" customHeight="1">
      <c r="A86" s="608"/>
      <c r="B86" s="602"/>
      <c r="C86" s="103"/>
      <c r="D86" s="103"/>
      <c r="E86" s="103"/>
      <c r="F86" s="103"/>
      <c r="G86" s="103"/>
      <c r="H86" s="603"/>
      <c r="I86" s="103"/>
      <c r="J86" s="604"/>
      <c r="L86" s="106"/>
    </row>
    <row r="87" spans="1:12" s="105" customFormat="1" ht="20.100000000000001" hidden="1" customHeight="1">
      <c r="A87" s="608"/>
      <c r="B87" s="602"/>
      <c r="C87" s="103"/>
      <c r="D87" s="103"/>
      <c r="E87" s="103"/>
      <c r="F87" s="103"/>
      <c r="G87" s="103"/>
      <c r="H87" s="603"/>
      <c r="I87" s="103"/>
      <c r="J87" s="604"/>
      <c r="L87" s="106"/>
    </row>
    <row r="88" spans="1:12" s="105" customFormat="1" ht="20.100000000000001" hidden="1" customHeight="1">
      <c r="A88" s="608"/>
      <c r="B88" s="602"/>
      <c r="C88" s="103"/>
      <c r="D88" s="103"/>
      <c r="E88" s="103"/>
      <c r="F88" s="103"/>
      <c r="G88" s="103"/>
      <c r="H88" s="603"/>
      <c r="I88" s="103"/>
      <c r="J88" s="604"/>
      <c r="L88" s="106"/>
    </row>
    <row r="89" spans="1:12" s="105" customFormat="1" ht="20.100000000000001" hidden="1" customHeight="1">
      <c r="A89" s="608"/>
      <c r="B89" s="602"/>
      <c r="C89" s="103"/>
      <c r="D89" s="103"/>
      <c r="E89" s="103"/>
      <c r="F89" s="103"/>
      <c r="G89" s="103"/>
      <c r="H89" s="603"/>
      <c r="I89" s="103"/>
      <c r="J89" s="604"/>
      <c r="L89" s="106"/>
    </row>
    <row r="90" spans="1:12" s="105" customFormat="1" ht="20.100000000000001" hidden="1" customHeight="1">
      <c r="A90" s="608"/>
      <c r="B90" s="602"/>
      <c r="C90" s="103"/>
      <c r="D90" s="103"/>
      <c r="E90" s="103"/>
      <c r="F90" s="103"/>
      <c r="G90" s="103"/>
      <c r="H90" s="603"/>
      <c r="I90" s="103"/>
      <c r="J90" s="604"/>
      <c r="L90" s="106"/>
    </row>
    <row r="91" spans="1:12" s="105" customFormat="1" ht="20.100000000000001" hidden="1" customHeight="1">
      <c r="A91" s="608"/>
      <c r="B91" s="602"/>
      <c r="C91" s="103"/>
      <c r="D91" s="103"/>
      <c r="E91" s="103"/>
      <c r="F91" s="103"/>
      <c r="G91" s="103"/>
      <c r="H91" s="603"/>
      <c r="I91" s="103"/>
      <c r="J91" s="604"/>
      <c r="L91" s="106"/>
    </row>
    <row r="92" spans="1:12" s="105" customFormat="1" ht="20.100000000000001" hidden="1" customHeight="1">
      <c r="A92" s="608"/>
      <c r="B92" s="602"/>
      <c r="C92" s="103"/>
      <c r="D92" s="103"/>
      <c r="E92" s="103"/>
      <c r="F92" s="103"/>
      <c r="G92" s="103"/>
      <c r="H92" s="603"/>
      <c r="I92" s="103"/>
      <c r="J92" s="604"/>
      <c r="L92" s="106"/>
    </row>
    <row r="93" spans="1:12" s="105" customFormat="1" ht="20.100000000000001" hidden="1" customHeight="1">
      <c r="A93" s="608"/>
      <c r="B93" s="602"/>
      <c r="C93" s="103"/>
      <c r="D93" s="103"/>
      <c r="E93" s="103"/>
      <c r="F93" s="103"/>
      <c r="G93" s="103"/>
      <c r="H93" s="603"/>
      <c r="I93" s="103"/>
      <c r="J93" s="604"/>
      <c r="L93" s="106"/>
    </row>
    <row r="94" spans="1:12" s="105" customFormat="1" ht="20.100000000000001" hidden="1" customHeight="1">
      <c r="A94" s="608"/>
      <c r="B94" s="602"/>
      <c r="C94" s="103"/>
      <c r="D94" s="103"/>
      <c r="E94" s="103"/>
      <c r="F94" s="103"/>
      <c r="G94" s="103"/>
      <c r="H94" s="603"/>
      <c r="I94" s="103"/>
      <c r="J94" s="604"/>
      <c r="L94" s="106"/>
    </row>
    <row r="95" spans="1:12" s="105" customFormat="1" ht="20.100000000000001" hidden="1" customHeight="1">
      <c r="A95" s="608"/>
      <c r="B95" s="602"/>
      <c r="C95" s="103"/>
      <c r="D95" s="103"/>
      <c r="E95" s="103"/>
      <c r="F95" s="103"/>
      <c r="G95" s="103"/>
      <c r="H95" s="603"/>
      <c r="I95" s="103"/>
      <c r="J95" s="604"/>
      <c r="L95" s="106"/>
    </row>
    <row r="96" spans="1:12" s="105" customFormat="1" ht="20.100000000000001" hidden="1" customHeight="1">
      <c r="A96" s="608"/>
      <c r="B96" s="602"/>
      <c r="C96" s="103"/>
      <c r="D96" s="103"/>
      <c r="E96" s="103"/>
      <c r="F96" s="103"/>
      <c r="G96" s="103"/>
      <c r="H96" s="603"/>
      <c r="I96" s="103"/>
      <c r="J96" s="604"/>
      <c r="L96" s="106"/>
    </row>
    <row r="97" spans="1:12" s="105" customFormat="1" ht="20.100000000000001" hidden="1" customHeight="1">
      <c r="A97" s="608"/>
      <c r="B97" s="602"/>
      <c r="C97" s="103"/>
      <c r="D97" s="103"/>
      <c r="E97" s="103"/>
      <c r="F97" s="103"/>
      <c r="G97" s="103"/>
      <c r="H97" s="603"/>
      <c r="I97" s="103"/>
      <c r="J97" s="604"/>
      <c r="L97" s="106"/>
    </row>
    <row r="98" spans="1:12" s="105" customFormat="1" ht="20.100000000000001" hidden="1" customHeight="1">
      <c r="A98" s="608"/>
      <c r="B98" s="602"/>
      <c r="C98" s="103"/>
      <c r="D98" s="103"/>
      <c r="E98" s="103"/>
      <c r="F98" s="103"/>
      <c r="G98" s="103"/>
      <c r="H98" s="603"/>
      <c r="I98" s="103"/>
      <c r="J98" s="604"/>
      <c r="L98" s="106"/>
    </row>
    <row r="99" spans="1:12" s="105" customFormat="1" ht="20.100000000000001" hidden="1" customHeight="1">
      <c r="A99" s="608"/>
      <c r="B99" s="602"/>
      <c r="C99" s="103"/>
      <c r="D99" s="103"/>
      <c r="E99" s="103"/>
      <c r="F99" s="103"/>
      <c r="G99" s="103"/>
      <c r="H99" s="603"/>
      <c r="I99" s="103"/>
      <c r="J99" s="604"/>
      <c r="L99" s="106"/>
    </row>
    <row r="100" spans="1:12" s="105" customFormat="1" ht="20.100000000000001" hidden="1" customHeight="1">
      <c r="A100" s="608"/>
      <c r="B100" s="602"/>
      <c r="C100" s="103"/>
      <c r="D100" s="103"/>
      <c r="E100" s="103"/>
      <c r="F100" s="103"/>
      <c r="G100" s="103"/>
      <c r="H100" s="603"/>
      <c r="I100" s="103"/>
      <c r="J100" s="604"/>
      <c r="L100" s="106"/>
    </row>
    <row r="101" spans="1:12" s="105" customFormat="1" ht="20.100000000000001" hidden="1" customHeight="1">
      <c r="A101" s="608"/>
      <c r="B101" s="602"/>
      <c r="C101" s="103"/>
      <c r="D101" s="103"/>
      <c r="E101" s="103"/>
      <c r="F101" s="103"/>
      <c r="G101" s="103"/>
      <c r="H101" s="603"/>
      <c r="I101" s="103"/>
      <c r="J101" s="604"/>
      <c r="L101" s="106"/>
    </row>
    <row r="102" spans="1:12" s="105" customFormat="1" ht="20.100000000000001" hidden="1" customHeight="1">
      <c r="A102" s="608"/>
      <c r="B102" s="602"/>
      <c r="C102" s="103"/>
      <c r="D102" s="103"/>
      <c r="E102" s="103"/>
      <c r="F102" s="103"/>
      <c r="G102" s="103"/>
      <c r="H102" s="603"/>
      <c r="I102" s="103"/>
      <c r="J102" s="604"/>
      <c r="L102" s="106"/>
    </row>
    <row r="103" spans="1:12" s="105" customFormat="1" ht="20.100000000000001" hidden="1" customHeight="1">
      <c r="A103" s="608"/>
      <c r="B103" s="602"/>
      <c r="C103" s="103"/>
      <c r="D103" s="103"/>
      <c r="E103" s="103"/>
      <c r="F103" s="103"/>
      <c r="G103" s="103"/>
      <c r="H103" s="603"/>
      <c r="I103" s="103"/>
      <c r="J103" s="604"/>
      <c r="L103" s="106"/>
    </row>
    <row r="104" spans="1:12" s="105" customFormat="1" ht="20.100000000000001" hidden="1" customHeight="1">
      <c r="A104" s="608"/>
      <c r="B104" s="602"/>
      <c r="C104" s="103"/>
      <c r="D104" s="103"/>
      <c r="E104" s="103"/>
      <c r="F104" s="103"/>
      <c r="G104" s="103"/>
      <c r="H104" s="603"/>
      <c r="I104" s="103"/>
      <c r="J104" s="604"/>
      <c r="L104" s="106"/>
    </row>
    <row r="105" spans="1:12" s="105" customFormat="1" ht="20.100000000000001" hidden="1" customHeight="1">
      <c r="A105" s="608"/>
      <c r="B105" s="602"/>
      <c r="C105" s="103"/>
      <c r="D105" s="103"/>
      <c r="E105" s="103"/>
      <c r="F105" s="103"/>
      <c r="G105" s="103"/>
      <c r="H105" s="603"/>
      <c r="I105" s="103"/>
      <c r="J105" s="604"/>
      <c r="L105" s="106"/>
    </row>
    <row r="106" spans="1:12" s="105" customFormat="1" ht="20.100000000000001" hidden="1" customHeight="1">
      <c r="A106" s="608"/>
      <c r="B106" s="602"/>
      <c r="C106" s="103"/>
      <c r="D106" s="103"/>
      <c r="E106" s="103"/>
      <c r="F106" s="103"/>
      <c r="G106" s="103"/>
      <c r="H106" s="603"/>
      <c r="I106" s="103"/>
      <c r="J106" s="604"/>
      <c r="L106" s="106"/>
    </row>
    <row r="107" spans="1:12" s="105" customFormat="1" ht="20.100000000000001" hidden="1" customHeight="1">
      <c r="A107" s="608"/>
      <c r="B107" s="602"/>
      <c r="C107" s="103"/>
      <c r="D107" s="103"/>
      <c r="E107" s="103"/>
      <c r="F107" s="103"/>
      <c r="G107" s="103"/>
      <c r="H107" s="603"/>
      <c r="I107" s="103"/>
      <c r="J107" s="604"/>
      <c r="L107" s="106"/>
    </row>
    <row r="108" spans="1:12" s="105" customFormat="1" ht="20.100000000000001" hidden="1" customHeight="1">
      <c r="A108" s="608"/>
      <c r="B108" s="602"/>
      <c r="C108" s="103"/>
      <c r="D108" s="103"/>
      <c r="E108" s="103"/>
      <c r="F108" s="103"/>
      <c r="G108" s="103"/>
      <c r="H108" s="603"/>
      <c r="I108" s="103"/>
      <c r="J108" s="604"/>
      <c r="L108" s="106"/>
    </row>
    <row r="109" spans="1:12" s="105" customFormat="1" ht="20.100000000000001" hidden="1" customHeight="1">
      <c r="A109" s="608"/>
      <c r="B109" s="602"/>
      <c r="C109" s="103"/>
      <c r="D109" s="103"/>
      <c r="E109" s="103"/>
      <c r="F109" s="103"/>
      <c r="G109" s="103"/>
      <c r="H109" s="603"/>
      <c r="I109" s="103"/>
      <c r="J109" s="604"/>
      <c r="L109" s="106"/>
    </row>
    <row r="110" spans="1:12" s="105" customFormat="1" ht="20.100000000000001" hidden="1" customHeight="1">
      <c r="A110" s="608"/>
      <c r="B110" s="602"/>
      <c r="C110" s="103"/>
      <c r="D110" s="103"/>
      <c r="E110" s="103"/>
      <c r="F110" s="103"/>
      <c r="G110" s="103"/>
      <c r="H110" s="603"/>
      <c r="I110" s="103"/>
      <c r="J110" s="604"/>
      <c r="L110" s="106"/>
    </row>
    <row r="111" spans="1:12" s="105" customFormat="1" ht="20.100000000000001" hidden="1" customHeight="1">
      <c r="A111" s="608"/>
      <c r="B111" s="602"/>
      <c r="C111" s="103"/>
      <c r="D111" s="103"/>
      <c r="E111" s="103"/>
      <c r="F111" s="103"/>
      <c r="G111" s="103"/>
      <c r="H111" s="603"/>
      <c r="I111" s="103"/>
      <c r="J111" s="604"/>
      <c r="L111" s="106"/>
    </row>
    <row r="112" spans="1:12" s="105" customFormat="1" ht="20.100000000000001" hidden="1" customHeight="1">
      <c r="A112" s="608"/>
      <c r="B112" s="602"/>
      <c r="C112" s="103"/>
      <c r="D112" s="103"/>
      <c r="E112" s="103"/>
      <c r="F112" s="103"/>
      <c r="G112" s="103"/>
      <c r="H112" s="603"/>
      <c r="I112" s="103"/>
      <c r="J112" s="604"/>
      <c r="L112" s="106"/>
    </row>
    <row r="113" spans="1:12" s="105" customFormat="1" ht="20.100000000000001" hidden="1" customHeight="1">
      <c r="A113" s="608"/>
      <c r="B113" s="602"/>
      <c r="C113" s="103"/>
      <c r="D113" s="103"/>
      <c r="E113" s="103"/>
      <c r="F113" s="103"/>
      <c r="G113" s="103"/>
      <c r="H113" s="603"/>
      <c r="I113" s="103"/>
      <c r="J113" s="604"/>
      <c r="L113" s="106"/>
    </row>
    <row r="114" spans="1:12" s="105" customFormat="1" ht="20.100000000000001" hidden="1" customHeight="1">
      <c r="A114" s="608"/>
      <c r="B114" s="602"/>
      <c r="C114" s="103"/>
      <c r="D114" s="103"/>
      <c r="E114" s="103"/>
      <c r="F114" s="103"/>
      <c r="G114" s="103"/>
      <c r="H114" s="603"/>
      <c r="I114" s="103"/>
      <c r="J114" s="604"/>
      <c r="L114" s="106"/>
    </row>
    <row r="115" spans="1:12" s="105" customFormat="1" ht="20.100000000000001" hidden="1" customHeight="1">
      <c r="A115" s="608"/>
      <c r="B115" s="602"/>
      <c r="C115" s="103"/>
      <c r="D115" s="103"/>
      <c r="E115" s="103"/>
      <c r="F115" s="103"/>
      <c r="G115" s="103"/>
      <c r="H115" s="603"/>
      <c r="I115" s="103"/>
      <c r="J115" s="604"/>
      <c r="L115" s="106"/>
    </row>
    <row r="116" spans="1:12" s="105" customFormat="1" ht="20.100000000000001" hidden="1" customHeight="1">
      <c r="A116" s="608"/>
      <c r="B116" s="602"/>
      <c r="C116" s="103"/>
      <c r="D116" s="103"/>
      <c r="E116" s="103"/>
      <c r="F116" s="103"/>
      <c r="G116" s="103"/>
      <c r="H116" s="603"/>
      <c r="I116" s="103"/>
      <c r="J116" s="604"/>
      <c r="L116" s="106"/>
    </row>
    <row r="117" spans="1:12" s="105" customFormat="1" ht="20.100000000000001" hidden="1" customHeight="1">
      <c r="A117" s="608"/>
      <c r="B117" s="602"/>
      <c r="C117" s="103"/>
      <c r="D117" s="103"/>
      <c r="E117" s="103"/>
      <c r="F117" s="103"/>
      <c r="G117" s="103"/>
      <c r="H117" s="603"/>
      <c r="I117" s="103"/>
      <c r="J117" s="604"/>
      <c r="L117" s="106"/>
    </row>
    <row r="118" spans="1:12" s="105" customFormat="1" ht="20.100000000000001" hidden="1" customHeight="1">
      <c r="A118" s="608"/>
      <c r="B118" s="602"/>
      <c r="C118" s="103"/>
      <c r="D118" s="103"/>
      <c r="E118" s="103"/>
      <c r="F118" s="103"/>
      <c r="G118" s="103"/>
      <c r="H118" s="603"/>
      <c r="I118" s="103"/>
      <c r="J118" s="604"/>
      <c r="L118" s="106"/>
    </row>
    <row r="119" spans="1:12" s="105" customFormat="1" ht="20.100000000000001" hidden="1" customHeight="1">
      <c r="A119" s="608"/>
      <c r="B119" s="602"/>
      <c r="C119" s="103"/>
      <c r="D119" s="103"/>
      <c r="E119" s="103"/>
      <c r="F119" s="103"/>
      <c r="G119" s="103"/>
      <c r="H119" s="603"/>
      <c r="I119" s="103"/>
      <c r="J119" s="604"/>
      <c r="L119" s="106"/>
    </row>
    <row r="120" spans="1:12" s="105" customFormat="1" ht="20.100000000000001" hidden="1" customHeight="1">
      <c r="A120" s="608"/>
      <c r="B120" s="602"/>
      <c r="C120" s="103"/>
      <c r="D120" s="103"/>
      <c r="E120" s="103"/>
      <c r="F120" s="103"/>
      <c r="G120" s="103"/>
      <c r="H120" s="603"/>
      <c r="I120" s="103"/>
      <c r="J120" s="604"/>
      <c r="L120" s="106"/>
    </row>
    <row r="121" spans="1:12" s="105" customFormat="1" ht="20.100000000000001" hidden="1" customHeight="1">
      <c r="A121" s="608"/>
      <c r="B121" s="602"/>
      <c r="C121" s="103"/>
      <c r="D121" s="103"/>
      <c r="E121" s="103"/>
      <c r="F121" s="103"/>
      <c r="G121" s="103"/>
      <c r="H121" s="603"/>
      <c r="I121" s="103"/>
      <c r="J121" s="604"/>
      <c r="L121" s="106"/>
    </row>
    <row r="122" spans="1:12" s="105" customFormat="1" ht="20.100000000000001" hidden="1" customHeight="1">
      <c r="A122" s="608"/>
      <c r="B122" s="602"/>
      <c r="C122" s="103"/>
      <c r="D122" s="103"/>
      <c r="E122" s="103"/>
      <c r="F122" s="103"/>
      <c r="G122" s="103"/>
      <c r="H122" s="603"/>
      <c r="I122" s="103"/>
      <c r="J122" s="604"/>
      <c r="L122" s="106"/>
    </row>
    <row r="123" spans="1:12" s="105" customFormat="1" ht="20.100000000000001" hidden="1" customHeight="1">
      <c r="A123" s="608"/>
      <c r="B123" s="602"/>
      <c r="C123" s="103"/>
      <c r="D123" s="103"/>
      <c r="E123" s="103"/>
      <c r="F123" s="103"/>
      <c r="G123" s="103"/>
      <c r="H123" s="603"/>
      <c r="I123" s="103"/>
      <c r="J123" s="604"/>
      <c r="L123" s="106"/>
    </row>
    <row r="124" spans="1:12" s="105" customFormat="1" ht="20.100000000000001" hidden="1" customHeight="1">
      <c r="A124" s="608"/>
      <c r="B124" s="602"/>
      <c r="C124" s="103"/>
      <c r="D124" s="103"/>
      <c r="E124" s="103"/>
      <c r="F124" s="103"/>
      <c r="G124" s="103"/>
      <c r="H124" s="603"/>
      <c r="I124" s="103"/>
      <c r="J124" s="604"/>
      <c r="L124" s="106"/>
    </row>
    <row r="125" spans="1:12" s="105" customFormat="1" ht="20.100000000000001" hidden="1" customHeight="1">
      <c r="A125" s="608"/>
      <c r="B125" s="602"/>
      <c r="C125" s="103"/>
      <c r="D125" s="103"/>
      <c r="E125" s="103"/>
      <c r="F125" s="103"/>
      <c r="G125" s="103"/>
      <c r="H125" s="603"/>
      <c r="I125" s="103"/>
      <c r="J125" s="604"/>
      <c r="L125" s="106"/>
    </row>
    <row r="126" spans="1:12" s="105" customFormat="1" ht="20.100000000000001" hidden="1" customHeight="1">
      <c r="A126" s="608"/>
      <c r="B126" s="602"/>
      <c r="C126" s="103"/>
      <c r="D126" s="103"/>
      <c r="E126" s="103"/>
      <c r="F126" s="103"/>
      <c r="G126" s="103"/>
      <c r="H126" s="603"/>
      <c r="I126" s="103"/>
      <c r="J126" s="604"/>
      <c r="L126" s="106"/>
    </row>
    <row r="127" spans="1:12" s="105" customFormat="1" ht="20.100000000000001" hidden="1" customHeight="1">
      <c r="A127" s="608"/>
      <c r="B127" s="602"/>
      <c r="C127" s="103"/>
      <c r="D127" s="103"/>
      <c r="E127" s="103"/>
      <c r="F127" s="103"/>
      <c r="G127" s="103"/>
      <c r="H127" s="603"/>
      <c r="I127" s="103"/>
      <c r="J127" s="604"/>
      <c r="L127" s="106"/>
    </row>
    <row r="128" spans="1:12" s="105" customFormat="1" ht="33" hidden="1" customHeight="1">
      <c r="A128" s="608" t="s">
        <v>787</v>
      </c>
      <c r="B128" s="602" t="s">
        <v>1063</v>
      </c>
      <c r="C128" s="103" t="s">
        <v>1056</v>
      </c>
      <c r="D128" s="103" t="s">
        <v>1056</v>
      </c>
      <c r="E128" s="103">
        <v>0</v>
      </c>
      <c r="F128" s="103" t="s">
        <v>1056</v>
      </c>
      <c r="G128" s="103">
        <v>0</v>
      </c>
      <c r="H128" s="612"/>
      <c r="I128" s="103" t="s">
        <v>1056</v>
      </c>
      <c r="J128" s="604">
        <f t="shared" ref="J128" si="2">SUM(C128:I128)</f>
        <v>0</v>
      </c>
    </row>
    <row r="129" spans="1:12" s="105" customFormat="1" ht="20.100000000000001" customHeight="1">
      <c r="A129" s="608" t="s">
        <v>148</v>
      </c>
      <c r="B129" s="602" t="s">
        <v>1064</v>
      </c>
      <c r="C129" s="103">
        <v>0</v>
      </c>
      <c r="D129" s="103">
        <v>0</v>
      </c>
      <c r="E129" s="103">
        <v>0</v>
      </c>
      <c r="F129" s="103">
        <v>0</v>
      </c>
      <c r="G129" s="609">
        <v>0</v>
      </c>
      <c r="H129" s="613"/>
      <c r="I129" s="103" t="s">
        <v>1056</v>
      </c>
      <c r="J129" s="604">
        <f t="shared" si="1"/>
        <v>0</v>
      </c>
      <c r="L129" s="106"/>
    </row>
    <row r="130" spans="1:12" s="107" customFormat="1" ht="25.5" customHeight="1">
      <c r="A130" s="601" t="s">
        <v>1065</v>
      </c>
      <c r="B130" s="602">
        <v>3220</v>
      </c>
      <c r="C130" s="103">
        <f t="shared" ref="C130:H130" si="3">SUM(C131:C139)</f>
        <v>0</v>
      </c>
      <c r="D130" s="103">
        <f t="shared" si="3"/>
        <v>0</v>
      </c>
      <c r="E130" s="103">
        <f t="shared" si="3"/>
        <v>0</v>
      </c>
      <c r="F130" s="103">
        <f t="shared" si="3"/>
        <v>0</v>
      </c>
      <c r="G130" s="103">
        <f t="shared" si="3"/>
        <v>0</v>
      </c>
      <c r="H130" s="103">
        <f t="shared" si="3"/>
        <v>0</v>
      </c>
      <c r="I130" s="103">
        <f>SUM(I131:I139)</f>
        <v>0</v>
      </c>
      <c r="J130" s="604">
        <f>SUM(J131:J139)</f>
        <v>0</v>
      </c>
      <c r="L130" s="106"/>
    </row>
    <row r="131" spans="1:12" s="105" customFormat="1" ht="20.100000000000001" customHeight="1">
      <c r="A131" s="608" t="s">
        <v>1066</v>
      </c>
      <c r="B131" s="602">
        <v>3221</v>
      </c>
      <c r="C131" s="103" t="s">
        <v>1056</v>
      </c>
      <c r="D131" s="103" t="s">
        <v>1056</v>
      </c>
      <c r="E131" s="103" t="s">
        <v>1056</v>
      </c>
      <c r="F131" s="103" t="s">
        <v>1056</v>
      </c>
      <c r="G131" s="104">
        <v>0</v>
      </c>
      <c r="H131" s="108">
        <v>0</v>
      </c>
      <c r="I131" s="103" t="s">
        <v>1056</v>
      </c>
      <c r="J131" s="604">
        <f t="shared" ref="J131:J139" si="4">SUM(C131:I131)</f>
        <v>0</v>
      </c>
      <c r="L131" s="106"/>
    </row>
    <row r="132" spans="1:12" s="105" customFormat="1" ht="20.100000000000001" customHeight="1">
      <c r="A132" s="608" t="s">
        <v>1057</v>
      </c>
      <c r="B132" s="602">
        <v>3222</v>
      </c>
      <c r="C132" s="103" t="s">
        <v>1056</v>
      </c>
      <c r="D132" s="103" t="s">
        <v>1056</v>
      </c>
      <c r="E132" s="103">
        <v>0</v>
      </c>
      <c r="F132" s="103" t="s">
        <v>1056</v>
      </c>
      <c r="G132" s="103" t="s">
        <v>1056</v>
      </c>
      <c r="H132" s="108">
        <v>0</v>
      </c>
      <c r="I132" s="104">
        <v>0</v>
      </c>
      <c r="J132" s="604">
        <f t="shared" si="4"/>
        <v>0</v>
      </c>
      <c r="L132" s="106"/>
    </row>
    <row r="133" spans="1:12" s="105" customFormat="1" ht="36.75" customHeight="1">
      <c r="A133" s="608" t="s">
        <v>1067</v>
      </c>
      <c r="B133" s="602">
        <v>3223</v>
      </c>
      <c r="C133" s="103" t="s">
        <v>1056</v>
      </c>
      <c r="D133" s="103" t="s">
        <v>1056</v>
      </c>
      <c r="E133" s="103" t="s">
        <v>1056</v>
      </c>
      <c r="F133" s="103" t="s">
        <v>1056</v>
      </c>
      <c r="G133" s="104">
        <v>0</v>
      </c>
      <c r="H133" s="108">
        <v>0</v>
      </c>
      <c r="I133" s="104">
        <v>0</v>
      </c>
      <c r="J133" s="604">
        <f t="shared" si="4"/>
        <v>0</v>
      </c>
      <c r="L133" s="106"/>
    </row>
    <row r="134" spans="1:12" s="105" customFormat="1" ht="21.75" customHeight="1">
      <c r="A134" s="608" t="s">
        <v>1068</v>
      </c>
      <c r="B134" s="602">
        <v>3224</v>
      </c>
      <c r="C134" s="103">
        <v>0</v>
      </c>
      <c r="D134" s="103" t="s">
        <v>1056</v>
      </c>
      <c r="E134" s="103" t="s">
        <v>1056</v>
      </c>
      <c r="F134" s="103" t="s">
        <v>1056</v>
      </c>
      <c r="G134" s="104">
        <v>0</v>
      </c>
      <c r="H134" s="603"/>
      <c r="I134" s="103" t="s">
        <v>1056</v>
      </c>
      <c r="J134" s="604">
        <f t="shared" si="4"/>
        <v>0</v>
      </c>
      <c r="L134" s="106"/>
    </row>
    <row r="135" spans="1:12" s="105" customFormat="1" ht="20.100000000000001" customHeight="1">
      <c r="A135" s="608" t="s">
        <v>1069</v>
      </c>
      <c r="B135" s="602">
        <v>3225</v>
      </c>
      <c r="C135" s="103">
        <v>0</v>
      </c>
      <c r="D135" s="103">
        <v>0</v>
      </c>
      <c r="E135" s="103" t="s">
        <v>1056</v>
      </c>
      <c r="F135" s="103" t="s">
        <v>1056</v>
      </c>
      <c r="G135" s="103" t="s">
        <v>1056</v>
      </c>
      <c r="H135" s="103">
        <v>0</v>
      </c>
      <c r="I135" s="103" t="s">
        <v>1056</v>
      </c>
      <c r="J135" s="604">
        <f t="shared" si="4"/>
        <v>0</v>
      </c>
      <c r="L135" s="106"/>
    </row>
    <row r="136" spans="1:12" s="105" customFormat="1" ht="22.5" customHeight="1">
      <c r="A136" s="608" t="s">
        <v>1061</v>
      </c>
      <c r="B136" s="602">
        <v>3226</v>
      </c>
      <c r="C136" s="103">
        <v>0</v>
      </c>
      <c r="D136" s="103">
        <v>0</v>
      </c>
      <c r="E136" s="103">
        <v>0</v>
      </c>
      <c r="F136" s="103">
        <v>0</v>
      </c>
      <c r="G136" s="104">
        <v>0</v>
      </c>
      <c r="H136" s="108"/>
      <c r="I136" s="104">
        <v>0</v>
      </c>
      <c r="J136" s="604">
        <f t="shared" si="4"/>
        <v>0</v>
      </c>
      <c r="L136" s="106"/>
    </row>
    <row r="137" spans="1:12" s="105" customFormat="1" ht="20.100000000000001" customHeight="1">
      <c r="A137" s="608" t="s">
        <v>1070</v>
      </c>
      <c r="B137" s="602">
        <v>3227</v>
      </c>
      <c r="C137" s="103" t="s">
        <v>1056</v>
      </c>
      <c r="D137" s="103" t="s">
        <v>1056</v>
      </c>
      <c r="E137" s="103" t="s">
        <v>1056</v>
      </c>
      <c r="F137" s="103" t="s">
        <v>1056</v>
      </c>
      <c r="G137" s="104">
        <v>0</v>
      </c>
      <c r="H137" s="108"/>
      <c r="I137" s="103" t="s">
        <v>1056</v>
      </c>
      <c r="J137" s="604">
        <f t="shared" si="4"/>
        <v>0</v>
      </c>
      <c r="L137" s="106"/>
    </row>
    <row r="138" spans="1:12" s="105" customFormat="1" ht="32.25" hidden="1" customHeight="1">
      <c r="A138" s="608" t="s">
        <v>787</v>
      </c>
      <c r="B138" s="602" t="s">
        <v>1071</v>
      </c>
      <c r="C138" s="103" t="s">
        <v>1056</v>
      </c>
      <c r="D138" s="103" t="s">
        <v>1056</v>
      </c>
      <c r="E138" s="103">
        <v>0</v>
      </c>
      <c r="F138" s="103" t="s">
        <v>1056</v>
      </c>
      <c r="G138" s="103">
        <v>0</v>
      </c>
      <c r="H138" s="108">
        <v>0</v>
      </c>
      <c r="I138" s="103" t="s">
        <v>1056</v>
      </c>
      <c r="J138" s="604">
        <f t="shared" si="4"/>
        <v>0</v>
      </c>
    </row>
    <row r="139" spans="1:12" ht="20.100000000000001" customHeight="1">
      <c r="A139" s="614" t="s">
        <v>148</v>
      </c>
      <c r="B139" s="615" t="s">
        <v>1072</v>
      </c>
      <c r="C139" s="616">
        <v>0</v>
      </c>
      <c r="D139" s="616">
        <v>0</v>
      </c>
      <c r="E139" s="616">
        <v>0</v>
      </c>
      <c r="F139" s="616">
        <v>0</v>
      </c>
      <c r="G139" s="531">
        <v>0</v>
      </c>
      <c r="H139" s="617"/>
      <c r="I139" s="616" t="s">
        <v>1056</v>
      </c>
      <c r="J139" s="618">
        <f t="shared" si="4"/>
        <v>0</v>
      </c>
      <c r="L139" s="106"/>
    </row>
    <row r="140" spans="1:12" ht="15.75">
      <c r="A140" s="90"/>
      <c r="B140" s="88"/>
      <c r="C140" s="52"/>
      <c r="D140" s="109"/>
      <c r="E140" s="110"/>
      <c r="F140" s="110"/>
      <c r="G140" s="110"/>
      <c r="H140" s="110"/>
      <c r="I140" s="110"/>
      <c r="J140" s="52"/>
      <c r="L140" s="106"/>
    </row>
    <row r="141" spans="1:12" ht="15" customHeight="1">
      <c r="A141" s="90"/>
      <c r="B141" s="88"/>
      <c r="C141" s="109"/>
      <c r="D141" s="917" t="s">
        <v>206</v>
      </c>
      <c r="E141" s="917"/>
      <c r="F141" s="917"/>
      <c r="G141" s="917"/>
      <c r="H141" s="917"/>
      <c r="I141" s="917"/>
      <c r="J141" s="917"/>
      <c r="L141" s="106"/>
    </row>
    <row r="142" spans="1:12" ht="57" customHeight="1">
      <c r="A142" s="600" t="s">
        <v>0</v>
      </c>
      <c r="B142" s="98" t="s">
        <v>1041</v>
      </c>
      <c r="C142" s="99" t="s">
        <v>204</v>
      </c>
      <c r="D142" s="100" t="s">
        <v>1042</v>
      </c>
      <c r="E142" s="99" t="s">
        <v>1043</v>
      </c>
      <c r="F142" s="101" t="s">
        <v>64</v>
      </c>
      <c r="G142" s="99" t="s">
        <v>1044</v>
      </c>
      <c r="H142" s="101" t="s">
        <v>1045</v>
      </c>
      <c r="I142" s="99" t="s">
        <v>1046</v>
      </c>
      <c r="J142" s="102" t="s">
        <v>205</v>
      </c>
      <c r="L142" s="106"/>
    </row>
    <row r="143" spans="1:12" ht="20.100000000000001" customHeight="1">
      <c r="A143" s="111" t="s">
        <v>1073</v>
      </c>
      <c r="B143" s="619">
        <v>3230</v>
      </c>
      <c r="C143" s="112" t="s">
        <v>1056</v>
      </c>
      <c r="D143" s="112" t="s">
        <v>1056</v>
      </c>
      <c r="E143" s="112">
        <v>0</v>
      </c>
      <c r="F143" s="112" t="s">
        <v>1056</v>
      </c>
      <c r="G143" s="112">
        <v>0</v>
      </c>
      <c r="H143" s="620"/>
      <c r="I143" s="112" t="s">
        <v>1056</v>
      </c>
      <c r="J143" s="621">
        <f>SUM(C143:I143)</f>
        <v>0</v>
      </c>
      <c r="L143" s="106"/>
    </row>
    <row r="144" spans="1:12" s="105" customFormat="1" ht="20.100000000000001" customHeight="1">
      <c r="A144" s="605" t="s">
        <v>1074</v>
      </c>
      <c r="B144" s="602">
        <v>3240</v>
      </c>
      <c r="C144" s="103" t="s">
        <v>1056</v>
      </c>
      <c r="D144" s="103" t="s">
        <v>1056</v>
      </c>
      <c r="E144" s="103" t="s">
        <v>1056</v>
      </c>
      <c r="F144" s="103">
        <v>0</v>
      </c>
      <c r="G144" s="104">
        <v>0</v>
      </c>
      <c r="H144" s="613"/>
      <c r="I144" s="103" t="s">
        <v>1056</v>
      </c>
      <c r="J144" s="604">
        <f>SUM(C144:I144)</f>
        <v>0</v>
      </c>
      <c r="L144" s="106"/>
    </row>
    <row r="145" spans="1:10" s="105" customFormat="1" ht="24.95" customHeight="1">
      <c r="A145" s="601" t="s">
        <v>1075</v>
      </c>
      <c r="B145" s="602" t="s">
        <v>1076</v>
      </c>
      <c r="C145" s="103">
        <f>C18+C22+C130</f>
        <v>0</v>
      </c>
      <c r="D145" s="103">
        <f>D18+D22+D130</f>
        <v>0</v>
      </c>
      <c r="E145" s="103">
        <f>E18+E22+E130+E143</f>
        <v>0</v>
      </c>
      <c r="F145" s="103">
        <f>F18+F22+F130+F144</f>
        <v>0</v>
      </c>
      <c r="G145" s="103">
        <f>G18+G22+G130+G143+G144</f>
        <v>0</v>
      </c>
      <c r="H145" s="613"/>
      <c r="I145" s="103">
        <f>I18+I22+I130</f>
        <v>0</v>
      </c>
      <c r="J145" s="604">
        <f>J18+J22+J130+J143+J144</f>
        <v>0</v>
      </c>
    </row>
    <row r="146" spans="1:10" s="105" customFormat="1" ht="24.95" hidden="1" customHeight="1">
      <c r="A146" s="605" t="s">
        <v>1049</v>
      </c>
      <c r="B146" s="602" t="s">
        <v>1077</v>
      </c>
      <c r="C146" s="606">
        <v>0</v>
      </c>
      <c r="D146" s="606">
        <v>0</v>
      </c>
      <c r="E146" s="606"/>
      <c r="F146" s="606">
        <v>0</v>
      </c>
      <c r="G146" s="622"/>
      <c r="H146" s="623"/>
      <c r="I146" s="606"/>
      <c r="J146" s="607"/>
    </row>
    <row r="147" spans="1:10" s="105" customFormat="1" ht="24.95" hidden="1" customHeight="1">
      <c r="A147" s="605" t="s">
        <v>1051</v>
      </c>
      <c r="B147" s="602" t="s">
        <v>1078</v>
      </c>
      <c r="C147" s="606"/>
      <c r="D147" s="606"/>
      <c r="E147" s="606"/>
      <c r="F147" s="606"/>
      <c r="G147" s="622"/>
      <c r="H147" s="623"/>
      <c r="I147" s="606"/>
      <c r="J147" s="607"/>
    </row>
    <row r="148" spans="1:10" s="105" customFormat="1" ht="20.100000000000001" customHeight="1">
      <c r="A148" s="924" t="s">
        <v>1079</v>
      </c>
      <c r="B148" s="925"/>
      <c r="C148" s="925"/>
      <c r="D148" s="925"/>
      <c r="E148" s="925"/>
      <c r="F148" s="925"/>
      <c r="G148" s="925"/>
      <c r="H148" s="925"/>
      <c r="I148" s="925"/>
      <c r="J148" s="926"/>
    </row>
    <row r="149" spans="1:10" s="105" customFormat="1" ht="21.75" customHeight="1">
      <c r="A149" s="624" t="s">
        <v>1054</v>
      </c>
      <c r="B149" s="113">
        <v>3310</v>
      </c>
      <c r="C149" s="104">
        <f>SUM(C150:C158)</f>
        <v>0</v>
      </c>
      <c r="D149" s="104">
        <f>SUM(D150:D158)</f>
        <v>0</v>
      </c>
      <c r="E149" s="104">
        <f>SUM(E150:E158)</f>
        <v>0</v>
      </c>
      <c r="F149" s="104">
        <f>SUM(F150:F158)</f>
        <v>0</v>
      </c>
      <c r="G149" s="104">
        <f>SUM(G150:G158)</f>
        <v>0</v>
      </c>
      <c r="H149" s="612"/>
      <c r="I149" s="104">
        <f>SUM(I150:I158)</f>
        <v>0</v>
      </c>
      <c r="J149" s="604">
        <f t="shared" ref="J149:J171" si="5">SUM(C149:I149)</f>
        <v>0</v>
      </c>
    </row>
    <row r="150" spans="1:10" s="105" customFormat="1" ht="20.100000000000001" customHeight="1">
      <c r="A150" s="608" t="s">
        <v>1055</v>
      </c>
      <c r="B150" s="602">
        <v>3311</v>
      </c>
      <c r="C150" s="103" t="s">
        <v>1056</v>
      </c>
      <c r="D150" s="103" t="s">
        <v>1056</v>
      </c>
      <c r="E150" s="103" t="s">
        <v>1056</v>
      </c>
      <c r="F150" s="103" t="s">
        <v>1056</v>
      </c>
      <c r="G150" s="104">
        <v>0</v>
      </c>
      <c r="H150" s="612"/>
      <c r="I150" s="103" t="s">
        <v>1056</v>
      </c>
      <c r="J150" s="604">
        <f t="shared" si="5"/>
        <v>0</v>
      </c>
    </row>
    <row r="151" spans="1:10" s="105" customFormat="1" ht="20.100000000000001" customHeight="1">
      <c r="A151" s="608" t="s">
        <v>1057</v>
      </c>
      <c r="B151" s="602">
        <v>3312</v>
      </c>
      <c r="C151" s="103" t="s">
        <v>1056</v>
      </c>
      <c r="D151" s="103" t="s">
        <v>1056</v>
      </c>
      <c r="E151" s="103">
        <v>0</v>
      </c>
      <c r="F151" s="103" t="s">
        <v>1056</v>
      </c>
      <c r="G151" s="103" t="s">
        <v>1056</v>
      </c>
      <c r="H151" s="612"/>
      <c r="I151" s="104">
        <v>0</v>
      </c>
      <c r="J151" s="604">
        <f t="shared" si="5"/>
        <v>0</v>
      </c>
    </row>
    <row r="152" spans="1:10" s="105" customFormat="1" ht="33" customHeight="1">
      <c r="A152" s="608" t="s">
        <v>1058</v>
      </c>
      <c r="B152" s="602">
        <v>3313</v>
      </c>
      <c r="C152" s="103" t="s">
        <v>1056</v>
      </c>
      <c r="D152" s="103" t="s">
        <v>1056</v>
      </c>
      <c r="E152" s="103">
        <v>0</v>
      </c>
      <c r="F152" s="103" t="s">
        <v>1056</v>
      </c>
      <c r="G152" s="103">
        <v>0</v>
      </c>
      <c r="H152" s="612"/>
      <c r="I152" s="103" t="s">
        <v>1056</v>
      </c>
      <c r="J152" s="604">
        <f t="shared" si="5"/>
        <v>0</v>
      </c>
    </row>
    <row r="153" spans="1:10" s="105" customFormat="1" ht="20.100000000000001" customHeight="1">
      <c r="A153" s="608" t="s">
        <v>1059</v>
      </c>
      <c r="B153" s="602">
        <v>3314</v>
      </c>
      <c r="C153" s="103">
        <v>0</v>
      </c>
      <c r="D153" s="103" t="s">
        <v>1056</v>
      </c>
      <c r="E153" s="103">
        <v>0</v>
      </c>
      <c r="F153" s="103" t="s">
        <v>1056</v>
      </c>
      <c r="G153" s="103" t="s">
        <v>1056</v>
      </c>
      <c r="H153" s="103">
        <v>0</v>
      </c>
      <c r="I153" s="103" t="s">
        <v>1056</v>
      </c>
      <c r="J153" s="604">
        <f t="shared" si="5"/>
        <v>0</v>
      </c>
    </row>
    <row r="154" spans="1:10" s="105" customFormat="1" ht="23.25" customHeight="1">
      <c r="A154" s="608" t="s">
        <v>1060</v>
      </c>
      <c r="B154" s="602">
        <v>3315</v>
      </c>
      <c r="C154" s="103">
        <v>0</v>
      </c>
      <c r="D154" s="103" t="s">
        <v>1056</v>
      </c>
      <c r="E154" s="103">
        <v>0</v>
      </c>
      <c r="F154" s="103" t="s">
        <v>1056</v>
      </c>
      <c r="G154" s="103">
        <v>0</v>
      </c>
      <c r="H154" s="103">
        <v>0</v>
      </c>
      <c r="I154" s="103" t="s">
        <v>1056</v>
      </c>
      <c r="J154" s="604">
        <f t="shared" si="5"/>
        <v>0</v>
      </c>
    </row>
    <row r="155" spans="1:10" s="105" customFormat="1" ht="24" customHeight="1">
      <c r="A155" s="608" t="s">
        <v>1061</v>
      </c>
      <c r="B155" s="602">
        <v>3316</v>
      </c>
      <c r="C155" s="103">
        <v>0</v>
      </c>
      <c r="D155" s="103">
        <v>0</v>
      </c>
      <c r="E155" s="103">
        <v>0</v>
      </c>
      <c r="F155" s="103">
        <v>0</v>
      </c>
      <c r="G155" s="103">
        <v>0</v>
      </c>
      <c r="H155" s="612"/>
      <c r="I155" s="104">
        <v>0</v>
      </c>
      <c r="J155" s="604">
        <f t="shared" si="5"/>
        <v>0</v>
      </c>
    </row>
    <row r="156" spans="1:10" s="105" customFormat="1" ht="20.100000000000001" customHeight="1">
      <c r="A156" s="608" t="s">
        <v>1062</v>
      </c>
      <c r="B156" s="602">
        <v>3317</v>
      </c>
      <c r="C156" s="103" t="s">
        <v>1056</v>
      </c>
      <c r="D156" s="103">
        <v>0</v>
      </c>
      <c r="E156" s="103" t="s">
        <v>1056</v>
      </c>
      <c r="F156" s="103" t="s">
        <v>1056</v>
      </c>
      <c r="G156" s="103" t="s">
        <v>1056</v>
      </c>
      <c r="H156" s="103">
        <v>0</v>
      </c>
      <c r="I156" s="103" t="s">
        <v>1056</v>
      </c>
      <c r="J156" s="604">
        <f t="shared" si="5"/>
        <v>0</v>
      </c>
    </row>
    <row r="157" spans="1:10" s="105" customFormat="1" ht="33" hidden="1" customHeight="1">
      <c r="A157" s="608" t="s">
        <v>787</v>
      </c>
      <c r="B157" s="602" t="s">
        <v>1080</v>
      </c>
      <c r="C157" s="103" t="s">
        <v>1056</v>
      </c>
      <c r="D157" s="103" t="s">
        <v>1056</v>
      </c>
      <c r="E157" s="103">
        <v>0</v>
      </c>
      <c r="F157" s="103" t="s">
        <v>1056</v>
      </c>
      <c r="G157" s="103">
        <v>0</v>
      </c>
      <c r="H157" s="612"/>
      <c r="I157" s="103" t="s">
        <v>1056</v>
      </c>
      <c r="J157" s="604">
        <f t="shared" si="5"/>
        <v>0</v>
      </c>
    </row>
    <row r="158" spans="1:10" s="105" customFormat="1" ht="20.100000000000001" customHeight="1">
      <c r="A158" s="608" t="s">
        <v>148</v>
      </c>
      <c r="B158" s="602" t="s">
        <v>1081</v>
      </c>
      <c r="C158" s="103">
        <v>0</v>
      </c>
      <c r="D158" s="103">
        <v>0</v>
      </c>
      <c r="E158" s="103">
        <v>0</v>
      </c>
      <c r="F158" s="103">
        <v>0</v>
      </c>
      <c r="G158" s="103">
        <v>0</v>
      </c>
      <c r="H158" s="612"/>
      <c r="I158" s="103">
        <v>0</v>
      </c>
      <c r="J158" s="604">
        <f t="shared" si="5"/>
        <v>0</v>
      </c>
    </row>
    <row r="159" spans="1:10" s="105" customFormat="1" ht="24.75" customHeight="1">
      <c r="A159" s="601" t="s">
        <v>1065</v>
      </c>
      <c r="B159" s="602">
        <v>3320</v>
      </c>
      <c r="C159" s="103">
        <f>SUM(C160:C168)</f>
        <v>0</v>
      </c>
      <c r="D159" s="103">
        <f>SUM(D160:D168)</f>
        <v>0</v>
      </c>
      <c r="E159" s="103">
        <f t="shared" ref="E159:I159" si="6">SUM(E160:E168)</f>
        <v>0</v>
      </c>
      <c r="F159" s="103">
        <f t="shared" si="6"/>
        <v>0</v>
      </c>
      <c r="G159" s="103">
        <f t="shared" si="6"/>
        <v>0</v>
      </c>
      <c r="H159" s="103">
        <f t="shared" si="6"/>
        <v>0</v>
      </c>
      <c r="I159" s="103">
        <f t="shared" si="6"/>
        <v>0</v>
      </c>
      <c r="J159" s="604">
        <f t="shared" si="5"/>
        <v>0</v>
      </c>
    </row>
    <row r="160" spans="1:10" s="105" customFormat="1" ht="20.100000000000001" customHeight="1">
      <c r="A160" s="608" t="s">
        <v>1066</v>
      </c>
      <c r="B160" s="602">
        <v>3321</v>
      </c>
      <c r="C160" s="103" t="s">
        <v>1056</v>
      </c>
      <c r="D160" s="103" t="s">
        <v>1056</v>
      </c>
      <c r="E160" s="103" t="s">
        <v>1056</v>
      </c>
      <c r="F160" s="103" t="s">
        <v>1056</v>
      </c>
      <c r="G160" s="103">
        <v>0</v>
      </c>
      <c r="H160" s="612"/>
      <c r="I160" s="103" t="s">
        <v>1056</v>
      </c>
      <c r="J160" s="604">
        <f t="shared" si="5"/>
        <v>0</v>
      </c>
    </row>
    <row r="161" spans="1:10" s="105" customFormat="1" ht="20.100000000000001" customHeight="1">
      <c r="A161" s="608" t="s">
        <v>1057</v>
      </c>
      <c r="B161" s="602">
        <v>3322</v>
      </c>
      <c r="C161" s="103" t="s">
        <v>1056</v>
      </c>
      <c r="D161" s="103" t="s">
        <v>1056</v>
      </c>
      <c r="E161" s="103">
        <v>0</v>
      </c>
      <c r="F161" s="103" t="s">
        <v>1056</v>
      </c>
      <c r="G161" s="103" t="s">
        <v>1056</v>
      </c>
      <c r="H161" s="612"/>
      <c r="I161" s="104">
        <v>0</v>
      </c>
      <c r="J161" s="604">
        <f t="shared" si="5"/>
        <v>0</v>
      </c>
    </row>
    <row r="162" spans="1:10" s="105" customFormat="1" ht="33.75" customHeight="1">
      <c r="A162" s="608" t="s">
        <v>1067</v>
      </c>
      <c r="B162" s="602">
        <v>3323</v>
      </c>
      <c r="C162" s="103" t="s">
        <v>1056</v>
      </c>
      <c r="D162" s="103" t="s">
        <v>1056</v>
      </c>
      <c r="E162" s="103" t="s">
        <v>1056</v>
      </c>
      <c r="F162" s="103" t="s">
        <v>1056</v>
      </c>
      <c r="G162" s="103">
        <v>0</v>
      </c>
      <c r="H162" s="612"/>
      <c r="I162" s="104">
        <v>0</v>
      </c>
      <c r="J162" s="604">
        <f t="shared" si="5"/>
        <v>0</v>
      </c>
    </row>
    <row r="163" spans="1:10" s="105" customFormat="1" ht="24" customHeight="1">
      <c r="A163" s="608" t="s">
        <v>1068</v>
      </c>
      <c r="B163" s="602">
        <v>3324</v>
      </c>
      <c r="C163" s="103">
        <v>0</v>
      </c>
      <c r="D163" s="103" t="s">
        <v>1056</v>
      </c>
      <c r="E163" s="103" t="s">
        <v>1056</v>
      </c>
      <c r="F163" s="103" t="s">
        <v>1056</v>
      </c>
      <c r="G163" s="103">
        <v>0</v>
      </c>
      <c r="H163" s="612"/>
      <c r="I163" s="103" t="s">
        <v>1056</v>
      </c>
      <c r="J163" s="604">
        <f t="shared" si="5"/>
        <v>0</v>
      </c>
    </row>
    <row r="164" spans="1:10" s="107" customFormat="1" ht="20.100000000000001" customHeight="1">
      <c r="A164" s="608" t="s">
        <v>1069</v>
      </c>
      <c r="B164" s="602">
        <v>3325</v>
      </c>
      <c r="C164" s="103">
        <v>0</v>
      </c>
      <c r="D164" s="103">
        <v>0</v>
      </c>
      <c r="E164" s="103" t="s">
        <v>1056</v>
      </c>
      <c r="F164" s="103" t="s">
        <v>1056</v>
      </c>
      <c r="G164" s="103" t="s">
        <v>1056</v>
      </c>
      <c r="H164" s="103">
        <v>0</v>
      </c>
      <c r="I164" s="103" t="s">
        <v>1056</v>
      </c>
      <c r="J164" s="604">
        <f t="shared" si="5"/>
        <v>0</v>
      </c>
    </row>
    <row r="165" spans="1:10" s="105" customFormat="1" ht="24.75" customHeight="1">
      <c r="A165" s="608" t="s">
        <v>1061</v>
      </c>
      <c r="B165" s="602">
        <v>3326</v>
      </c>
      <c r="C165" s="103">
        <v>0</v>
      </c>
      <c r="D165" s="103">
        <v>0</v>
      </c>
      <c r="E165" s="103">
        <v>0</v>
      </c>
      <c r="F165" s="103">
        <v>0</v>
      </c>
      <c r="G165" s="103">
        <v>0</v>
      </c>
      <c r="H165" s="108">
        <v>0</v>
      </c>
      <c r="I165" s="104">
        <v>0</v>
      </c>
      <c r="J165" s="604">
        <f t="shared" si="5"/>
        <v>0</v>
      </c>
    </row>
    <row r="166" spans="1:10" s="105" customFormat="1" ht="20.100000000000001" customHeight="1">
      <c r="A166" s="608" t="s">
        <v>1070</v>
      </c>
      <c r="B166" s="602">
        <v>3327</v>
      </c>
      <c r="C166" s="103" t="s">
        <v>1056</v>
      </c>
      <c r="D166" s="103" t="s">
        <v>1056</v>
      </c>
      <c r="E166" s="103" t="s">
        <v>1056</v>
      </c>
      <c r="F166" s="103" t="s">
        <v>1056</v>
      </c>
      <c r="G166" s="103">
        <v>0</v>
      </c>
      <c r="H166" s="108">
        <v>0</v>
      </c>
      <c r="I166" s="103" t="s">
        <v>1056</v>
      </c>
      <c r="J166" s="604">
        <f t="shared" si="5"/>
        <v>0</v>
      </c>
    </row>
    <row r="167" spans="1:10" s="105" customFormat="1" ht="32.25" hidden="1" customHeight="1">
      <c r="A167" s="608" t="s">
        <v>787</v>
      </c>
      <c r="B167" s="602" t="s">
        <v>1082</v>
      </c>
      <c r="C167" s="103" t="s">
        <v>1056</v>
      </c>
      <c r="D167" s="103" t="s">
        <v>1056</v>
      </c>
      <c r="E167" s="103">
        <v>0</v>
      </c>
      <c r="F167" s="103" t="s">
        <v>1056</v>
      </c>
      <c r="G167" s="103">
        <v>0</v>
      </c>
      <c r="H167" s="108">
        <v>0</v>
      </c>
      <c r="I167" s="103" t="s">
        <v>1056</v>
      </c>
      <c r="J167" s="604">
        <f t="shared" si="5"/>
        <v>0</v>
      </c>
    </row>
    <row r="168" spans="1:10" s="105" customFormat="1" ht="20.100000000000001" customHeight="1">
      <c r="A168" s="608" t="s">
        <v>148</v>
      </c>
      <c r="B168" s="602" t="s">
        <v>1083</v>
      </c>
      <c r="C168" s="103">
        <v>0</v>
      </c>
      <c r="D168" s="103">
        <v>0</v>
      </c>
      <c r="E168" s="103">
        <v>0</v>
      </c>
      <c r="F168" s="103">
        <v>0</v>
      </c>
      <c r="G168" s="103">
        <v>0</v>
      </c>
      <c r="H168" s="103">
        <v>0</v>
      </c>
      <c r="I168" s="103" t="s">
        <v>1056</v>
      </c>
      <c r="J168" s="604">
        <f t="shared" si="5"/>
        <v>0</v>
      </c>
    </row>
    <row r="169" spans="1:10" s="105" customFormat="1" ht="20.100000000000001" customHeight="1">
      <c r="A169" s="605" t="s">
        <v>1073</v>
      </c>
      <c r="B169" s="602">
        <v>3330</v>
      </c>
      <c r="C169" s="103" t="s">
        <v>1056</v>
      </c>
      <c r="D169" s="103" t="s">
        <v>1056</v>
      </c>
      <c r="E169" s="103">
        <v>0</v>
      </c>
      <c r="F169" s="103" t="s">
        <v>1056</v>
      </c>
      <c r="G169" s="103">
        <v>0</v>
      </c>
      <c r="H169" s="103">
        <v>0</v>
      </c>
      <c r="I169" s="103" t="s">
        <v>1056</v>
      </c>
      <c r="J169" s="604">
        <f t="shared" si="5"/>
        <v>0</v>
      </c>
    </row>
    <row r="170" spans="1:10" s="105" customFormat="1" ht="20.100000000000001" customHeight="1">
      <c r="A170" s="605" t="s">
        <v>1074</v>
      </c>
      <c r="B170" s="602">
        <v>3340</v>
      </c>
      <c r="C170" s="103" t="s">
        <v>1056</v>
      </c>
      <c r="D170" s="103" t="s">
        <v>1056</v>
      </c>
      <c r="E170" s="103" t="s">
        <v>1056</v>
      </c>
      <c r="F170" s="103">
        <v>0</v>
      </c>
      <c r="G170" s="103">
        <v>0</v>
      </c>
      <c r="H170" s="108"/>
      <c r="I170" s="103" t="s">
        <v>1056</v>
      </c>
      <c r="J170" s="604">
        <f t="shared" si="5"/>
        <v>0</v>
      </c>
    </row>
    <row r="171" spans="1:10" s="105" customFormat="1" ht="24.95" customHeight="1">
      <c r="A171" s="625" t="s">
        <v>1084</v>
      </c>
      <c r="B171" s="615">
        <v>3300</v>
      </c>
      <c r="C171" s="616">
        <f>C145+C149+C159</f>
        <v>0</v>
      </c>
      <c r="D171" s="616">
        <f>D145+D149+D159</f>
        <v>0</v>
      </c>
      <c r="E171" s="616">
        <f>E145+E149+E159+E169</f>
        <v>0</v>
      </c>
      <c r="F171" s="616">
        <f>F145+F149+F159+F170</f>
        <v>0</v>
      </c>
      <c r="G171" s="616">
        <f>G145+G149+G159+G169+G170</f>
        <v>0</v>
      </c>
      <c r="H171" s="626"/>
      <c r="I171" s="531">
        <f>I145+I149+I159</f>
        <v>0</v>
      </c>
      <c r="J171" s="618">
        <f t="shared" si="5"/>
        <v>0</v>
      </c>
    </row>
    <row r="172" spans="1:10" ht="15.75">
      <c r="A172" s="90"/>
      <c r="B172" s="88"/>
      <c r="C172" s="109"/>
      <c r="D172" s="109"/>
      <c r="E172" s="110"/>
      <c r="F172" s="110"/>
      <c r="G172" s="110"/>
      <c r="H172" s="110"/>
      <c r="I172" s="110"/>
      <c r="J172" s="52"/>
    </row>
    <row r="173" spans="1:10" ht="15.75">
      <c r="A173" s="90"/>
      <c r="B173" s="88"/>
      <c r="C173" s="109"/>
      <c r="D173" s="109"/>
      <c r="E173" s="110"/>
      <c r="F173" s="110"/>
      <c r="G173" s="110"/>
      <c r="H173" s="110"/>
      <c r="I173" s="110"/>
      <c r="J173" s="52"/>
    </row>
    <row r="174" spans="1:10" ht="15.75">
      <c r="A174" s="90"/>
      <c r="B174" s="88"/>
      <c r="C174" s="109"/>
      <c r="D174" s="109"/>
      <c r="E174" s="110"/>
      <c r="F174" s="110"/>
      <c r="G174" s="110"/>
      <c r="H174" s="110"/>
      <c r="I174" s="110"/>
      <c r="J174" s="52"/>
    </row>
    <row r="175" spans="1:10" ht="15.75">
      <c r="A175" s="90"/>
      <c r="B175" s="88"/>
      <c r="C175" s="52"/>
      <c r="D175" s="109"/>
      <c r="E175" s="110"/>
      <c r="F175" s="110"/>
      <c r="G175" s="110"/>
      <c r="H175" s="110"/>
      <c r="I175" s="110"/>
      <c r="J175" s="52"/>
    </row>
    <row r="176" spans="1:10" ht="20.25" customHeight="1">
      <c r="A176" s="87"/>
      <c r="B176" s="88"/>
      <c r="C176" s="52"/>
      <c r="D176" s="52"/>
      <c r="E176" s="52"/>
      <c r="F176" s="52"/>
      <c r="G176" s="52"/>
      <c r="H176" s="52"/>
      <c r="I176" s="52"/>
      <c r="J176" s="52"/>
    </row>
    <row r="177" spans="1:10" ht="20.25" customHeight="1">
      <c r="A177" s="90"/>
      <c r="B177" s="88"/>
      <c r="C177" s="52"/>
      <c r="D177" s="52"/>
      <c r="E177" s="52"/>
      <c r="F177" s="52"/>
      <c r="G177" s="52"/>
      <c r="H177" s="52"/>
      <c r="I177" s="52"/>
      <c r="J177" s="52"/>
    </row>
  </sheetData>
  <mergeCells count="19">
    <mergeCell ref="A12:F12"/>
    <mergeCell ref="G12:I12"/>
    <mergeCell ref="A1:G1"/>
    <mergeCell ref="B2:F2"/>
    <mergeCell ref="A3:G3"/>
    <mergeCell ref="G6:I6"/>
    <mergeCell ref="F7:I7"/>
    <mergeCell ref="A8:F8"/>
    <mergeCell ref="G8:I8"/>
    <mergeCell ref="A9:E9"/>
    <mergeCell ref="G9:I9"/>
    <mergeCell ref="A10:F10"/>
    <mergeCell ref="G10:I10"/>
    <mergeCell ref="A11:E11"/>
    <mergeCell ref="G13:I13"/>
    <mergeCell ref="A15:J15"/>
    <mergeCell ref="A21:J21"/>
    <mergeCell ref="D141:J141"/>
    <mergeCell ref="A148:J148"/>
  </mergeCells>
  <pageMargins left="0.47244094488188981" right="0.15748031496062992" top="0.70866141732283472" bottom="0.59055118110236227" header="0.23622047244094491" footer="0.43307086614173229"/>
  <pageSetup paperSize="9" scale="94" orientation="portrait" r:id="rId1"/>
  <headerFooter alignWithMargins="0"/>
  <rowBreaks count="2" manualBreakCount="2">
    <brk id="140" max="16383" man="1"/>
    <brk id="17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9" tint="-0.249977111117893"/>
  </sheetPr>
  <dimension ref="A1:J57"/>
  <sheetViews>
    <sheetView topLeftCell="A57" zoomScaleNormal="100" workbookViewId="0">
      <selection activeCell="J29" sqref="J29"/>
    </sheetView>
  </sheetViews>
  <sheetFormatPr defaultRowHeight="20.25" customHeight="1"/>
  <cols>
    <col min="1" max="1" width="33" style="85" customWidth="1"/>
    <col min="2" max="2" width="7.42578125" style="53" customWidth="1"/>
    <col min="3" max="3" width="13" style="51" customWidth="1"/>
    <col min="4" max="4" width="14.42578125" style="51" customWidth="1"/>
    <col min="5" max="5" width="12.42578125" style="51" customWidth="1"/>
    <col min="6" max="6" width="14" style="51" customWidth="1"/>
    <col min="7" max="7" width="4.5703125" style="51" customWidth="1"/>
    <col min="8" max="8" width="31.28515625" style="51" customWidth="1"/>
    <col min="9" max="9" width="10.7109375" style="51" customWidth="1"/>
    <col min="10" max="10" width="11.5703125" style="51" customWidth="1"/>
    <col min="11" max="256" width="9.140625" style="85"/>
    <col min="257" max="257" width="33" style="85" customWidth="1"/>
    <col min="258" max="258" width="5.7109375" style="85" customWidth="1"/>
    <col min="259" max="259" width="13" style="85" customWidth="1"/>
    <col min="260" max="260" width="14.42578125" style="85" customWidth="1"/>
    <col min="261" max="261" width="12.42578125" style="85" customWidth="1"/>
    <col min="262" max="262" width="14" style="85" customWidth="1"/>
    <col min="263" max="263" width="10.42578125" style="85" customWidth="1"/>
    <col min="264" max="264" width="0" style="85" hidden="1" customWidth="1"/>
    <col min="265" max="265" width="9.140625" style="85"/>
    <col min="266" max="266" width="11.5703125" style="85" customWidth="1"/>
    <col min="267" max="512" width="9.140625" style="85"/>
    <col min="513" max="513" width="33" style="85" customWidth="1"/>
    <col min="514" max="514" width="5.7109375" style="85" customWidth="1"/>
    <col min="515" max="515" width="13" style="85" customWidth="1"/>
    <col min="516" max="516" width="14.42578125" style="85" customWidth="1"/>
    <col min="517" max="517" width="12.42578125" style="85" customWidth="1"/>
    <col min="518" max="518" width="14" style="85" customWidth="1"/>
    <col min="519" max="519" width="10.42578125" style="85" customWidth="1"/>
    <col min="520" max="520" width="0" style="85" hidden="1" customWidth="1"/>
    <col min="521" max="521" width="9.140625" style="85"/>
    <col min="522" max="522" width="11.5703125" style="85" customWidth="1"/>
    <col min="523" max="768" width="9.140625" style="85"/>
    <col min="769" max="769" width="33" style="85" customWidth="1"/>
    <col min="770" max="770" width="5.7109375" style="85" customWidth="1"/>
    <col min="771" max="771" width="13" style="85" customWidth="1"/>
    <col min="772" max="772" width="14.42578125" style="85" customWidth="1"/>
    <col min="773" max="773" width="12.42578125" style="85" customWidth="1"/>
    <col min="774" max="774" width="14" style="85" customWidth="1"/>
    <col min="775" max="775" width="10.42578125" style="85" customWidth="1"/>
    <col min="776" max="776" width="0" style="85" hidden="1" customWidth="1"/>
    <col min="777" max="777" width="9.140625" style="85"/>
    <col min="778" max="778" width="11.5703125" style="85" customWidth="1"/>
    <col min="779" max="1024" width="9.140625" style="85"/>
    <col min="1025" max="1025" width="33" style="85" customWidth="1"/>
    <col min="1026" max="1026" width="5.7109375" style="85" customWidth="1"/>
    <col min="1027" max="1027" width="13" style="85" customWidth="1"/>
    <col min="1028" max="1028" width="14.42578125" style="85" customWidth="1"/>
    <col min="1029" max="1029" width="12.42578125" style="85" customWidth="1"/>
    <col min="1030" max="1030" width="14" style="85" customWidth="1"/>
    <col min="1031" max="1031" width="10.42578125" style="85" customWidth="1"/>
    <col min="1032" max="1032" width="0" style="85" hidden="1" customWidth="1"/>
    <col min="1033" max="1033" width="9.140625" style="85"/>
    <col min="1034" max="1034" width="11.5703125" style="85" customWidth="1"/>
    <col min="1035" max="1280" width="9.140625" style="85"/>
    <col min="1281" max="1281" width="33" style="85" customWidth="1"/>
    <col min="1282" max="1282" width="5.7109375" style="85" customWidth="1"/>
    <col min="1283" max="1283" width="13" style="85" customWidth="1"/>
    <col min="1284" max="1284" width="14.42578125" style="85" customWidth="1"/>
    <col min="1285" max="1285" width="12.42578125" style="85" customWidth="1"/>
    <col min="1286" max="1286" width="14" style="85" customWidth="1"/>
    <col min="1287" max="1287" width="10.42578125" style="85" customWidth="1"/>
    <col min="1288" max="1288" width="0" style="85" hidden="1" customWidth="1"/>
    <col min="1289" max="1289" width="9.140625" style="85"/>
    <col min="1290" max="1290" width="11.5703125" style="85" customWidth="1"/>
    <col min="1291" max="1536" width="9.140625" style="85"/>
    <col min="1537" max="1537" width="33" style="85" customWidth="1"/>
    <col min="1538" max="1538" width="5.7109375" style="85" customWidth="1"/>
    <col min="1539" max="1539" width="13" style="85" customWidth="1"/>
    <col min="1540" max="1540" width="14.42578125" style="85" customWidth="1"/>
    <col min="1541" max="1541" width="12.42578125" style="85" customWidth="1"/>
    <col min="1542" max="1542" width="14" style="85" customWidth="1"/>
    <col min="1543" max="1543" width="10.42578125" style="85" customWidth="1"/>
    <col min="1544" max="1544" width="0" style="85" hidden="1" customWidth="1"/>
    <col min="1545" max="1545" width="9.140625" style="85"/>
    <col min="1546" max="1546" width="11.5703125" style="85" customWidth="1"/>
    <col min="1547" max="1792" width="9.140625" style="85"/>
    <col min="1793" max="1793" width="33" style="85" customWidth="1"/>
    <col min="1794" max="1794" width="5.7109375" style="85" customWidth="1"/>
    <col min="1795" max="1795" width="13" style="85" customWidth="1"/>
    <col min="1796" max="1796" width="14.42578125" style="85" customWidth="1"/>
    <col min="1797" max="1797" width="12.42578125" style="85" customWidth="1"/>
    <col min="1798" max="1798" width="14" style="85" customWidth="1"/>
    <col min="1799" max="1799" width="10.42578125" style="85" customWidth="1"/>
    <col min="1800" max="1800" width="0" style="85" hidden="1" customWidth="1"/>
    <col min="1801" max="1801" width="9.140625" style="85"/>
    <col min="1802" max="1802" width="11.5703125" style="85" customWidth="1"/>
    <col min="1803" max="2048" width="9.140625" style="85"/>
    <col min="2049" max="2049" width="33" style="85" customWidth="1"/>
    <col min="2050" max="2050" width="5.7109375" style="85" customWidth="1"/>
    <col min="2051" max="2051" width="13" style="85" customWidth="1"/>
    <col min="2052" max="2052" width="14.42578125" style="85" customWidth="1"/>
    <col min="2053" max="2053" width="12.42578125" style="85" customWidth="1"/>
    <col min="2054" max="2054" width="14" style="85" customWidth="1"/>
    <col min="2055" max="2055" width="10.42578125" style="85" customWidth="1"/>
    <col min="2056" max="2056" width="0" style="85" hidden="1" customWidth="1"/>
    <col min="2057" max="2057" width="9.140625" style="85"/>
    <col min="2058" max="2058" width="11.5703125" style="85" customWidth="1"/>
    <col min="2059" max="2304" width="9.140625" style="85"/>
    <col min="2305" max="2305" width="33" style="85" customWidth="1"/>
    <col min="2306" max="2306" width="5.7109375" style="85" customWidth="1"/>
    <col min="2307" max="2307" width="13" style="85" customWidth="1"/>
    <col min="2308" max="2308" width="14.42578125" style="85" customWidth="1"/>
    <col min="2309" max="2309" width="12.42578125" style="85" customWidth="1"/>
    <col min="2310" max="2310" width="14" style="85" customWidth="1"/>
    <col min="2311" max="2311" width="10.42578125" style="85" customWidth="1"/>
    <col min="2312" max="2312" width="0" style="85" hidden="1" customWidth="1"/>
    <col min="2313" max="2313" width="9.140625" style="85"/>
    <col min="2314" max="2314" width="11.5703125" style="85" customWidth="1"/>
    <col min="2315" max="2560" width="9.140625" style="85"/>
    <col min="2561" max="2561" width="33" style="85" customWidth="1"/>
    <col min="2562" max="2562" width="5.7109375" style="85" customWidth="1"/>
    <col min="2563" max="2563" width="13" style="85" customWidth="1"/>
    <col min="2564" max="2564" width="14.42578125" style="85" customWidth="1"/>
    <col min="2565" max="2565" width="12.42578125" style="85" customWidth="1"/>
    <col min="2566" max="2566" width="14" style="85" customWidth="1"/>
    <col min="2567" max="2567" width="10.42578125" style="85" customWidth="1"/>
    <col min="2568" max="2568" width="0" style="85" hidden="1" customWidth="1"/>
    <col min="2569" max="2569" width="9.140625" style="85"/>
    <col min="2570" max="2570" width="11.5703125" style="85" customWidth="1"/>
    <col min="2571" max="2816" width="9.140625" style="85"/>
    <col min="2817" max="2817" width="33" style="85" customWidth="1"/>
    <col min="2818" max="2818" width="5.7109375" style="85" customWidth="1"/>
    <col min="2819" max="2819" width="13" style="85" customWidth="1"/>
    <col min="2820" max="2820" width="14.42578125" style="85" customWidth="1"/>
    <col min="2821" max="2821" width="12.42578125" style="85" customWidth="1"/>
    <col min="2822" max="2822" width="14" style="85" customWidth="1"/>
    <col min="2823" max="2823" width="10.42578125" style="85" customWidth="1"/>
    <col min="2824" max="2824" width="0" style="85" hidden="1" customWidth="1"/>
    <col min="2825" max="2825" width="9.140625" style="85"/>
    <col min="2826" max="2826" width="11.5703125" style="85" customWidth="1"/>
    <col min="2827" max="3072" width="9.140625" style="85"/>
    <col min="3073" max="3073" width="33" style="85" customWidth="1"/>
    <col min="3074" max="3074" width="5.7109375" style="85" customWidth="1"/>
    <col min="3075" max="3075" width="13" style="85" customWidth="1"/>
    <col min="3076" max="3076" width="14.42578125" style="85" customWidth="1"/>
    <col min="3077" max="3077" width="12.42578125" style="85" customWidth="1"/>
    <col min="3078" max="3078" width="14" style="85" customWidth="1"/>
    <col min="3079" max="3079" width="10.42578125" style="85" customWidth="1"/>
    <col min="3080" max="3080" width="0" style="85" hidden="1" customWidth="1"/>
    <col min="3081" max="3081" width="9.140625" style="85"/>
    <col min="3082" max="3082" width="11.5703125" style="85" customWidth="1"/>
    <col min="3083" max="3328" width="9.140625" style="85"/>
    <col min="3329" max="3329" width="33" style="85" customWidth="1"/>
    <col min="3330" max="3330" width="5.7109375" style="85" customWidth="1"/>
    <col min="3331" max="3331" width="13" style="85" customWidth="1"/>
    <col min="3332" max="3332" width="14.42578125" style="85" customWidth="1"/>
    <col min="3333" max="3333" width="12.42578125" style="85" customWidth="1"/>
    <col min="3334" max="3334" width="14" style="85" customWidth="1"/>
    <col min="3335" max="3335" width="10.42578125" style="85" customWidth="1"/>
    <col min="3336" max="3336" width="0" style="85" hidden="1" customWidth="1"/>
    <col min="3337" max="3337" width="9.140625" style="85"/>
    <col min="3338" max="3338" width="11.5703125" style="85" customWidth="1"/>
    <col min="3339" max="3584" width="9.140625" style="85"/>
    <col min="3585" max="3585" width="33" style="85" customWidth="1"/>
    <col min="3586" max="3586" width="5.7109375" style="85" customWidth="1"/>
    <col min="3587" max="3587" width="13" style="85" customWidth="1"/>
    <col min="3588" max="3588" width="14.42578125" style="85" customWidth="1"/>
    <col min="3589" max="3589" width="12.42578125" style="85" customWidth="1"/>
    <col min="3590" max="3590" width="14" style="85" customWidth="1"/>
    <col min="3591" max="3591" width="10.42578125" style="85" customWidth="1"/>
    <col min="3592" max="3592" width="0" style="85" hidden="1" customWidth="1"/>
    <col min="3593" max="3593" width="9.140625" style="85"/>
    <col min="3594" max="3594" width="11.5703125" style="85" customWidth="1"/>
    <col min="3595" max="3840" width="9.140625" style="85"/>
    <col min="3841" max="3841" width="33" style="85" customWidth="1"/>
    <col min="3842" max="3842" width="5.7109375" style="85" customWidth="1"/>
    <col min="3843" max="3843" width="13" style="85" customWidth="1"/>
    <col min="3844" max="3844" width="14.42578125" style="85" customWidth="1"/>
    <col min="3845" max="3845" width="12.42578125" style="85" customWidth="1"/>
    <col min="3846" max="3846" width="14" style="85" customWidth="1"/>
    <col min="3847" max="3847" width="10.42578125" style="85" customWidth="1"/>
    <col min="3848" max="3848" width="0" style="85" hidden="1" customWidth="1"/>
    <col min="3849" max="3849" width="9.140625" style="85"/>
    <col min="3850" max="3850" width="11.5703125" style="85" customWidth="1"/>
    <col min="3851" max="4096" width="9.140625" style="85"/>
    <col min="4097" max="4097" width="33" style="85" customWidth="1"/>
    <col min="4098" max="4098" width="5.7109375" style="85" customWidth="1"/>
    <col min="4099" max="4099" width="13" style="85" customWidth="1"/>
    <col min="4100" max="4100" width="14.42578125" style="85" customWidth="1"/>
    <col min="4101" max="4101" width="12.42578125" style="85" customWidth="1"/>
    <col min="4102" max="4102" width="14" style="85" customWidth="1"/>
    <col min="4103" max="4103" width="10.42578125" style="85" customWidth="1"/>
    <col min="4104" max="4104" width="0" style="85" hidden="1" customWidth="1"/>
    <col min="4105" max="4105" width="9.140625" style="85"/>
    <col min="4106" max="4106" width="11.5703125" style="85" customWidth="1"/>
    <col min="4107" max="4352" width="9.140625" style="85"/>
    <col min="4353" max="4353" width="33" style="85" customWidth="1"/>
    <col min="4354" max="4354" width="5.7109375" style="85" customWidth="1"/>
    <col min="4355" max="4355" width="13" style="85" customWidth="1"/>
    <col min="4356" max="4356" width="14.42578125" style="85" customWidth="1"/>
    <col min="4357" max="4357" width="12.42578125" style="85" customWidth="1"/>
    <col min="4358" max="4358" width="14" style="85" customWidth="1"/>
    <col min="4359" max="4359" width="10.42578125" style="85" customWidth="1"/>
    <col min="4360" max="4360" width="0" style="85" hidden="1" customWidth="1"/>
    <col min="4361" max="4361" width="9.140625" style="85"/>
    <col min="4362" max="4362" width="11.5703125" style="85" customWidth="1"/>
    <col min="4363" max="4608" width="9.140625" style="85"/>
    <col min="4609" max="4609" width="33" style="85" customWidth="1"/>
    <col min="4610" max="4610" width="5.7109375" style="85" customWidth="1"/>
    <col min="4611" max="4611" width="13" style="85" customWidth="1"/>
    <col min="4612" max="4612" width="14.42578125" style="85" customWidth="1"/>
    <col min="4613" max="4613" width="12.42578125" style="85" customWidth="1"/>
    <col min="4614" max="4614" width="14" style="85" customWidth="1"/>
    <col min="4615" max="4615" width="10.42578125" style="85" customWidth="1"/>
    <col min="4616" max="4616" width="0" style="85" hidden="1" customWidth="1"/>
    <col min="4617" max="4617" width="9.140625" style="85"/>
    <col min="4618" max="4618" width="11.5703125" style="85" customWidth="1"/>
    <col min="4619" max="4864" width="9.140625" style="85"/>
    <col min="4865" max="4865" width="33" style="85" customWidth="1"/>
    <col min="4866" max="4866" width="5.7109375" style="85" customWidth="1"/>
    <col min="4867" max="4867" width="13" style="85" customWidth="1"/>
    <col min="4868" max="4868" width="14.42578125" style="85" customWidth="1"/>
    <col min="4869" max="4869" width="12.42578125" style="85" customWidth="1"/>
    <col min="4870" max="4870" width="14" style="85" customWidth="1"/>
    <col min="4871" max="4871" width="10.42578125" style="85" customWidth="1"/>
    <col min="4872" max="4872" width="0" style="85" hidden="1" customWidth="1"/>
    <col min="4873" max="4873" width="9.140625" style="85"/>
    <col min="4874" max="4874" width="11.5703125" style="85" customWidth="1"/>
    <col min="4875" max="5120" width="9.140625" style="85"/>
    <col min="5121" max="5121" width="33" style="85" customWidth="1"/>
    <col min="5122" max="5122" width="5.7109375" style="85" customWidth="1"/>
    <col min="5123" max="5123" width="13" style="85" customWidth="1"/>
    <col min="5124" max="5124" width="14.42578125" style="85" customWidth="1"/>
    <col min="5125" max="5125" width="12.42578125" style="85" customWidth="1"/>
    <col min="5126" max="5126" width="14" style="85" customWidth="1"/>
    <col min="5127" max="5127" width="10.42578125" style="85" customWidth="1"/>
    <col min="5128" max="5128" width="0" style="85" hidden="1" customWidth="1"/>
    <col min="5129" max="5129" width="9.140625" style="85"/>
    <col min="5130" max="5130" width="11.5703125" style="85" customWidth="1"/>
    <col min="5131" max="5376" width="9.140625" style="85"/>
    <col min="5377" max="5377" width="33" style="85" customWidth="1"/>
    <col min="5378" max="5378" width="5.7109375" style="85" customWidth="1"/>
    <col min="5379" max="5379" width="13" style="85" customWidth="1"/>
    <col min="5380" max="5380" width="14.42578125" style="85" customWidth="1"/>
    <col min="5381" max="5381" width="12.42578125" style="85" customWidth="1"/>
    <col min="5382" max="5382" width="14" style="85" customWidth="1"/>
    <col min="5383" max="5383" width="10.42578125" style="85" customWidth="1"/>
    <col min="5384" max="5384" width="0" style="85" hidden="1" customWidth="1"/>
    <col min="5385" max="5385" width="9.140625" style="85"/>
    <col min="5386" max="5386" width="11.5703125" style="85" customWidth="1"/>
    <col min="5387" max="5632" width="9.140625" style="85"/>
    <col min="5633" max="5633" width="33" style="85" customWidth="1"/>
    <col min="5634" max="5634" width="5.7109375" style="85" customWidth="1"/>
    <col min="5635" max="5635" width="13" style="85" customWidth="1"/>
    <col min="5636" max="5636" width="14.42578125" style="85" customWidth="1"/>
    <col min="5637" max="5637" width="12.42578125" style="85" customWidth="1"/>
    <col min="5638" max="5638" width="14" style="85" customWidth="1"/>
    <col min="5639" max="5639" width="10.42578125" style="85" customWidth="1"/>
    <col min="5640" max="5640" width="0" style="85" hidden="1" customWidth="1"/>
    <col min="5641" max="5641" width="9.140625" style="85"/>
    <col min="5642" max="5642" width="11.5703125" style="85" customWidth="1"/>
    <col min="5643" max="5888" width="9.140625" style="85"/>
    <col min="5889" max="5889" width="33" style="85" customWidth="1"/>
    <col min="5890" max="5890" width="5.7109375" style="85" customWidth="1"/>
    <col min="5891" max="5891" width="13" style="85" customWidth="1"/>
    <col min="5892" max="5892" width="14.42578125" style="85" customWidth="1"/>
    <col min="5893" max="5893" width="12.42578125" style="85" customWidth="1"/>
    <col min="5894" max="5894" width="14" style="85" customWidth="1"/>
    <col min="5895" max="5895" width="10.42578125" style="85" customWidth="1"/>
    <col min="5896" max="5896" width="0" style="85" hidden="1" customWidth="1"/>
    <col min="5897" max="5897" width="9.140625" style="85"/>
    <col min="5898" max="5898" width="11.5703125" style="85" customWidth="1"/>
    <col min="5899" max="6144" width="9.140625" style="85"/>
    <col min="6145" max="6145" width="33" style="85" customWidth="1"/>
    <col min="6146" max="6146" width="5.7109375" style="85" customWidth="1"/>
    <col min="6147" max="6147" width="13" style="85" customWidth="1"/>
    <col min="6148" max="6148" width="14.42578125" style="85" customWidth="1"/>
    <col min="6149" max="6149" width="12.42578125" style="85" customWidth="1"/>
    <col min="6150" max="6150" width="14" style="85" customWidth="1"/>
    <col min="6151" max="6151" width="10.42578125" style="85" customWidth="1"/>
    <col min="6152" max="6152" width="0" style="85" hidden="1" customWidth="1"/>
    <col min="6153" max="6153" width="9.140625" style="85"/>
    <col min="6154" max="6154" width="11.5703125" style="85" customWidth="1"/>
    <col min="6155" max="6400" width="9.140625" style="85"/>
    <col min="6401" max="6401" width="33" style="85" customWidth="1"/>
    <col min="6402" max="6402" width="5.7109375" style="85" customWidth="1"/>
    <col min="6403" max="6403" width="13" style="85" customWidth="1"/>
    <col min="6404" max="6404" width="14.42578125" style="85" customWidth="1"/>
    <col min="6405" max="6405" width="12.42578125" style="85" customWidth="1"/>
    <col min="6406" max="6406" width="14" style="85" customWidth="1"/>
    <col min="6407" max="6407" width="10.42578125" style="85" customWidth="1"/>
    <col min="6408" max="6408" width="0" style="85" hidden="1" customWidth="1"/>
    <col min="6409" max="6409" width="9.140625" style="85"/>
    <col min="6410" max="6410" width="11.5703125" style="85" customWidth="1"/>
    <col min="6411" max="6656" width="9.140625" style="85"/>
    <col min="6657" max="6657" width="33" style="85" customWidth="1"/>
    <col min="6658" max="6658" width="5.7109375" style="85" customWidth="1"/>
    <col min="6659" max="6659" width="13" style="85" customWidth="1"/>
    <col min="6660" max="6660" width="14.42578125" style="85" customWidth="1"/>
    <col min="6661" max="6661" width="12.42578125" style="85" customWidth="1"/>
    <col min="6662" max="6662" width="14" style="85" customWidth="1"/>
    <col min="6663" max="6663" width="10.42578125" style="85" customWidth="1"/>
    <col min="6664" max="6664" width="0" style="85" hidden="1" customWidth="1"/>
    <col min="6665" max="6665" width="9.140625" style="85"/>
    <col min="6666" max="6666" width="11.5703125" style="85" customWidth="1"/>
    <col min="6667" max="6912" width="9.140625" style="85"/>
    <col min="6913" max="6913" width="33" style="85" customWidth="1"/>
    <col min="6914" max="6914" width="5.7109375" style="85" customWidth="1"/>
    <col min="6915" max="6915" width="13" style="85" customWidth="1"/>
    <col min="6916" max="6916" width="14.42578125" style="85" customWidth="1"/>
    <col min="6917" max="6917" width="12.42578125" style="85" customWidth="1"/>
    <col min="6918" max="6918" width="14" style="85" customWidth="1"/>
    <col min="6919" max="6919" width="10.42578125" style="85" customWidth="1"/>
    <col min="6920" max="6920" width="0" style="85" hidden="1" customWidth="1"/>
    <col min="6921" max="6921" width="9.140625" style="85"/>
    <col min="6922" max="6922" width="11.5703125" style="85" customWidth="1"/>
    <col min="6923" max="7168" width="9.140625" style="85"/>
    <col min="7169" max="7169" width="33" style="85" customWidth="1"/>
    <col min="7170" max="7170" width="5.7109375" style="85" customWidth="1"/>
    <col min="7171" max="7171" width="13" style="85" customWidth="1"/>
    <col min="7172" max="7172" width="14.42578125" style="85" customWidth="1"/>
    <col min="7173" max="7173" width="12.42578125" style="85" customWidth="1"/>
    <col min="7174" max="7174" width="14" style="85" customWidth="1"/>
    <col min="7175" max="7175" width="10.42578125" style="85" customWidth="1"/>
    <col min="7176" max="7176" width="0" style="85" hidden="1" customWidth="1"/>
    <col min="7177" max="7177" width="9.140625" style="85"/>
    <col min="7178" max="7178" width="11.5703125" style="85" customWidth="1"/>
    <col min="7179" max="7424" width="9.140625" style="85"/>
    <col min="7425" max="7425" width="33" style="85" customWidth="1"/>
    <col min="7426" max="7426" width="5.7109375" style="85" customWidth="1"/>
    <col min="7427" max="7427" width="13" style="85" customWidth="1"/>
    <col min="7428" max="7428" width="14.42578125" style="85" customWidth="1"/>
    <col min="7429" max="7429" width="12.42578125" style="85" customWidth="1"/>
    <col min="7430" max="7430" width="14" style="85" customWidth="1"/>
    <col min="7431" max="7431" width="10.42578125" style="85" customWidth="1"/>
    <col min="7432" max="7432" width="0" style="85" hidden="1" customWidth="1"/>
    <col min="7433" max="7433" width="9.140625" style="85"/>
    <col min="7434" max="7434" width="11.5703125" style="85" customWidth="1"/>
    <col min="7435" max="7680" width="9.140625" style="85"/>
    <col min="7681" max="7681" width="33" style="85" customWidth="1"/>
    <col min="7682" max="7682" width="5.7109375" style="85" customWidth="1"/>
    <col min="7683" max="7683" width="13" style="85" customWidth="1"/>
    <col min="7684" max="7684" width="14.42578125" style="85" customWidth="1"/>
    <col min="7685" max="7685" width="12.42578125" style="85" customWidth="1"/>
    <col min="7686" max="7686" width="14" style="85" customWidth="1"/>
    <col min="7687" max="7687" width="10.42578125" style="85" customWidth="1"/>
    <col min="7688" max="7688" width="0" style="85" hidden="1" customWidth="1"/>
    <col min="7689" max="7689" width="9.140625" style="85"/>
    <col min="7690" max="7690" width="11.5703125" style="85" customWidth="1"/>
    <col min="7691" max="7936" width="9.140625" style="85"/>
    <col min="7937" max="7937" width="33" style="85" customWidth="1"/>
    <col min="7938" max="7938" width="5.7109375" style="85" customWidth="1"/>
    <col min="7939" max="7939" width="13" style="85" customWidth="1"/>
    <col min="7940" max="7940" width="14.42578125" style="85" customWidth="1"/>
    <col min="7941" max="7941" width="12.42578125" style="85" customWidth="1"/>
    <col min="7942" max="7942" width="14" style="85" customWidth="1"/>
    <col min="7943" max="7943" width="10.42578125" style="85" customWidth="1"/>
    <col min="7944" max="7944" width="0" style="85" hidden="1" customWidth="1"/>
    <col min="7945" max="7945" width="9.140625" style="85"/>
    <col min="7946" max="7946" width="11.5703125" style="85" customWidth="1"/>
    <col min="7947" max="8192" width="9.140625" style="85"/>
    <col min="8193" max="8193" width="33" style="85" customWidth="1"/>
    <col min="8194" max="8194" width="5.7109375" style="85" customWidth="1"/>
    <col min="8195" max="8195" width="13" style="85" customWidth="1"/>
    <col min="8196" max="8196" width="14.42578125" style="85" customWidth="1"/>
    <col min="8197" max="8197" width="12.42578125" style="85" customWidth="1"/>
    <col min="8198" max="8198" width="14" style="85" customWidth="1"/>
    <col min="8199" max="8199" width="10.42578125" style="85" customWidth="1"/>
    <col min="8200" max="8200" width="0" style="85" hidden="1" customWidth="1"/>
    <col min="8201" max="8201" width="9.140625" style="85"/>
    <col min="8202" max="8202" width="11.5703125" style="85" customWidth="1"/>
    <col min="8203" max="8448" width="9.140625" style="85"/>
    <col min="8449" max="8449" width="33" style="85" customWidth="1"/>
    <col min="8450" max="8450" width="5.7109375" style="85" customWidth="1"/>
    <col min="8451" max="8451" width="13" style="85" customWidth="1"/>
    <col min="8452" max="8452" width="14.42578125" style="85" customWidth="1"/>
    <col min="8453" max="8453" width="12.42578125" style="85" customWidth="1"/>
    <col min="8454" max="8454" width="14" style="85" customWidth="1"/>
    <col min="8455" max="8455" width="10.42578125" style="85" customWidth="1"/>
    <col min="8456" max="8456" width="0" style="85" hidden="1" customWidth="1"/>
    <col min="8457" max="8457" width="9.140625" style="85"/>
    <col min="8458" max="8458" width="11.5703125" style="85" customWidth="1"/>
    <col min="8459" max="8704" width="9.140625" style="85"/>
    <col min="8705" max="8705" width="33" style="85" customWidth="1"/>
    <col min="8706" max="8706" width="5.7109375" style="85" customWidth="1"/>
    <col min="8707" max="8707" width="13" style="85" customWidth="1"/>
    <col min="8708" max="8708" width="14.42578125" style="85" customWidth="1"/>
    <col min="8709" max="8709" width="12.42578125" style="85" customWidth="1"/>
    <col min="8710" max="8710" width="14" style="85" customWidth="1"/>
    <col min="8711" max="8711" width="10.42578125" style="85" customWidth="1"/>
    <col min="8712" max="8712" width="0" style="85" hidden="1" customWidth="1"/>
    <col min="8713" max="8713" width="9.140625" style="85"/>
    <col min="8714" max="8714" width="11.5703125" style="85" customWidth="1"/>
    <col min="8715" max="8960" width="9.140625" style="85"/>
    <col min="8961" max="8961" width="33" style="85" customWidth="1"/>
    <col min="8962" max="8962" width="5.7109375" style="85" customWidth="1"/>
    <col min="8963" max="8963" width="13" style="85" customWidth="1"/>
    <col min="8964" max="8964" width="14.42578125" style="85" customWidth="1"/>
    <col min="8965" max="8965" width="12.42578125" style="85" customWidth="1"/>
    <col min="8966" max="8966" width="14" style="85" customWidth="1"/>
    <col min="8967" max="8967" width="10.42578125" style="85" customWidth="1"/>
    <col min="8968" max="8968" width="0" style="85" hidden="1" customWidth="1"/>
    <col min="8969" max="8969" width="9.140625" style="85"/>
    <col min="8970" max="8970" width="11.5703125" style="85" customWidth="1"/>
    <col min="8971" max="9216" width="9.140625" style="85"/>
    <col min="9217" max="9217" width="33" style="85" customWidth="1"/>
    <col min="9218" max="9218" width="5.7109375" style="85" customWidth="1"/>
    <col min="9219" max="9219" width="13" style="85" customWidth="1"/>
    <col min="9220" max="9220" width="14.42578125" style="85" customWidth="1"/>
    <col min="9221" max="9221" width="12.42578125" style="85" customWidth="1"/>
    <col min="9222" max="9222" width="14" style="85" customWidth="1"/>
    <col min="9223" max="9223" width="10.42578125" style="85" customWidth="1"/>
    <col min="9224" max="9224" width="0" style="85" hidden="1" customWidth="1"/>
    <col min="9225" max="9225" width="9.140625" style="85"/>
    <col min="9226" max="9226" width="11.5703125" style="85" customWidth="1"/>
    <col min="9227" max="9472" width="9.140625" style="85"/>
    <col min="9473" max="9473" width="33" style="85" customWidth="1"/>
    <col min="9474" max="9474" width="5.7109375" style="85" customWidth="1"/>
    <col min="9475" max="9475" width="13" style="85" customWidth="1"/>
    <col min="9476" max="9476" width="14.42578125" style="85" customWidth="1"/>
    <col min="9477" max="9477" width="12.42578125" style="85" customWidth="1"/>
    <col min="9478" max="9478" width="14" style="85" customWidth="1"/>
    <col min="9479" max="9479" width="10.42578125" style="85" customWidth="1"/>
    <col min="9480" max="9480" width="0" style="85" hidden="1" customWidth="1"/>
    <col min="9481" max="9481" width="9.140625" style="85"/>
    <col min="9482" max="9482" width="11.5703125" style="85" customWidth="1"/>
    <col min="9483" max="9728" width="9.140625" style="85"/>
    <col min="9729" max="9729" width="33" style="85" customWidth="1"/>
    <col min="9730" max="9730" width="5.7109375" style="85" customWidth="1"/>
    <col min="9731" max="9731" width="13" style="85" customWidth="1"/>
    <col min="9732" max="9732" width="14.42578125" style="85" customWidth="1"/>
    <col min="9733" max="9733" width="12.42578125" style="85" customWidth="1"/>
    <col min="9734" max="9734" width="14" style="85" customWidth="1"/>
    <col min="9735" max="9735" width="10.42578125" style="85" customWidth="1"/>
    <col min="9736" max="9736" width="0" style="85" hidden="1" customWidth="1"/>
    <col min="9737" max="9737" width="9.140625" style="85"/>
    <col min="9738" max="9738" width="11.5703125" style="85" customWidth="1"/>
    <col min="9739" max="9984" width="9.140625" style="85"/>
    <col min="9985" max="9985" width="33" style="85" customWidth="1"/>
    <col min="9986" max="9986" width="5.7109375" style="85" customWidth="1"/>
    <col min="9987" max="9987" width="13" style="85" customWidth="1"/>
    <col min="9988" max="9988" width="14.42578125" style="85" customWidth="1"/>
    <col min="9989" max="9989" width="12.42578125" style="85" customWidth="1"/>
    <col min="9990" max="9990" width="14" style="85" customWidth="1"/>
    <col min="9991" max="9991" width="10.42578125" style="85" customWidth="1"/>
    <col min="9992" max="9992" width="0" style="85" hidden="1" customWidth="1"/>
    <col min="9993" max="9993" width="9.140625" style="85"/>
    <col min="9994" max="9994" width="11.5703125" style="85" customWidth="1"/>
    <col min="9995" max="10240" width="9.140625" style="85"/>
    <col min="10241" max="10241" width="33" style="85" customWidth="1"/>
    <col min="10242" max="10242" width="5.7109375" style="85" customWidth="1"/>
    <col min="10243" max="10243" width="13" style="85" customWidth="1"/>
    <col min="10244" max="10244" width="14.42578125" style="85" customWidth="1"/>
    <col min="10245" max="10245" width="12.42578125" style="85" customWidth="1"/>
    <col min="10246" max="10246" width="14" style="85" customWidth="1"/>
    <col min="10247" max="10247" width="10.42578125" style="85" customWidth="1"/>
    <col min="10248" max="10248" width="0" style="85" hidden="1" customWidth="1"/>
    <col min="10249" max="10249" width="9.140625" style="85"/>
    <col min="10250" max="10250" width="11.5703125" style="85" customWidth="1"/>
    <col min="10251" max="10496" width="9.140625" style="85"/>
    <col min="10497" max="10497" width="33" style="85" customWidth="1"/>
    <col min="10498" max="10498" width="5.7109375" style="85" customWidth="1"/>
    <col min="10499" max="10499" width="13" style="85" customWidth="1"/>
    <col min="10500" max="10500" width="14.42578125" style="85" customWidth="1"/>
    <col min="10501" max="10501" width="12.42578125" style="85" customWidth="1"/>
    <col min="10502" max="10502" width="14" style="85" customWidth="1"/>
    <col min="10503" max="10503" width="10.42578125" style="85" customWidth="1"/>
    <col min="10504" max="10504" width="0" style="85" hidden="1" customWidth="1"/>
    <col min="10505" max="10505" width="9.140625" style="85"/>
    <col min="10506" max="10506" width="11.5703125" style="85" customWidth="1"/>
    <col min="10507" max="10752" width="9.140625" style="85"/>
    <col min="10753" max="10753" width="33" style="85" customWidth="1"/>
    <col min="10754" max="10754" width="5.7109375" style="85" customWidth="1"/>
    <col min="10755" max="10755" width="13" style="85" customWidth="1"/>
    <col min="10756" max="10756" width="14.42578125" style="85" customWidth="1"/>
    <col min="10757" max="10757" width="12.42578125" style="85" customWidth="1"/>
    <col min="10758" max="10758" width="14" style="85" customWidth="1"/>
    <col min="10759" max="10759" width="10.42578125" style="85" customWidth="1"/>
    <col min="10760" max="10760" width="0" style="85" hidden="1" customWidth="1"/>
    <col min="10761" max="10761" width="9.140625" style="85"/>
    <col min="10762" max="10762" width="11.5703125" style="85" customWidth="1"/>
    <col min="10763" max="11008" width="9.140625" style="85"/>
    <col min="11009" max="11009" width="33" style="85" customWidth="1"/>
    <col min="11010" max="11010" width="5.7109375" style="85" customWidth="1"/>
    <col min="11011" max="11011" width="13" style="85" customWidth="1"/>
    <col min="11012" max="11012" width="14.42578125" style="85" customWidth="1"/>
    <col min="11013" max="11013" width="12.42578125" style="85" customWidth="1"/>
    <col min="11014" max="11014" width="14" style="85" customWidth="1"/>
    <col min="11015" max="11015" width="10.42578125" style="85" customWidth="1"/>
    <col min="11016" max="11016" width="0" style="85" hidden="1" customWidth="1"/>
    <col min="11017" max="11017" width="9.140625" style="85"/>
    <col min="11018" max="11018" width="11.5703125" style="85" customWidth="1"/>
    <col min="11019" max="11264" width="9.140625" style="85"/>
    <col min="11265" max="11265" width="33" style="85" customWidth="1"/>
    <col min="11266" max="11266" width="5.7109375" style="85" customWidth="1"/>
    <col min="11267" max="11267" width="13" style="85" customWidth="1"/>
    <col min="11268" max="11268" width="14.42578125" style="85" customWidth="1"/>
    <col min="11269" max="11269" width="12.42578125" style="85" customWidth="1"/>
    <col min="11270" max="11270" width="14" style="85" customWidth="1"/>
    <col min="11271" max="11271" width="10.42578125" style="85" customWidth="1"/>
    <col min="11272" max="11272" width="0" style="85" hidden="1" customWidth="1"/>
    <col min="11273" max="11273" width="9.140625" style="85"/>
    <col min="11274" max="11274" width="11.5703125" style="85" customWidth="1"/>
    <col min="11275" max="11520" width="9.140625" style="85"/>
    <col min="11521" max="11521" width="33" style="85" customWidth="1"/>
    <col min="11522" max="11522" width="5.7109375" style="85" customWidth="1"/>
    <col min="11523" max="11523" width="13" style="85" customWidth="1"/>
    <col min="11524" max="11524" width="14.42578125" style="85" customWidth="1"/>
    <col min="11525" max="11525" width="12.42578125" style="85" customWidth="1"/>
    <col min="11526" max="11526" width="14" style="85" customWidth="1"/>
    <col min="11527" max="11527" width="10.42578125" style="85" customWidth="1"/>
    <col min="11528" max="11528" width="0" style="85" hidden="1" customWidth="1"/>
    <col min="11529" max="11529" width="9.140625" style="85"/>
    <col min="11530" max="11530" width="11.5703125" style="85" customWidth="1"/>
    <col min="11531" max="11776" width="9.140625" style="85"/>
    <col min="11777" max="11777" width="33" style="85" customWidth="1"/>
    <col min="11778" max="11778" width="5.7109375" style="85" customWidth="1"/>
    <col min="11779" max="11779" width="13" style="85" customWidth="1"/>
    <col min="11780" max="11780" width="14.42578125" style="85" customWidth="1"/>
    <col min="11781" max="11781" width="12.42578125" style="85" customWidth="1"/>
    <col min="11782" max="11782" width="14" style="85" customWidth="1"/>
    <col min="11783" max="11783" width="10.42578125" style="85" customWidth="1"/>
    <col min="11784" max="11784" width="0" style="85" hidden="1" customWidth="1"/>
    <col min="11785" max="11785" width="9.140625" style="85"/>
    <col min="11786" max="11786" width="11.5703125" style="85" customWidth="1"/>
    <col min="11787" max="12032" width="9.140625" style="85"/>
    <col min="12033" max="12033" width="33" style="85" customWidth="1"/>
    <col min="12034" max="12034" width="5.7109375" style="85" customWidth="1"/>
    <col min="12035" max="12035" width="13" style="85" customWidth="1"/>
    <col min="12036" max="12036" width="14.42578125" style="85" customWidth="1"/>
    <col min="12037" max="12037" width="12.42578125" style="85" customWidth="1"/>
    <col min="12038" max="12038" width="14" style="85" customWidth="1"/>
    <col min="12039" max="12039" width="10.42578125" style="85" customWidth="1"/>
    <col min="12040" max="12040" width="0" style="85" hidden="1" customWidth="1"/>
    <col min="12041" max="12041" width="9.140625" style="85"/>
    <col min="12042" max="12042" width="11.5703125" style="85" customWidth="1"/>
    <col min="12043" max="12288" width="9.140625" style="85"/>
    <col min="12289" max="12289" width="33" style="85" customWidth="1"/>
    <col min="12290" max="12290" width="5.7109375" style="85" customWidth="1"/>
    <col min="12291" max="12291" width="13" style="85" customWidth="1"/>
    <col min="12292" max="12292" width="14.42578125" style="85" customWidth="1"/>
    <col min="12293" max="12293" width="12.42578125" style="85" customWidth="1"/>
    <col min="12294" max="12294" width="14" style="85" customWidth="1"/>
    <col min="12295" max="12295" width="10.42578125" style="85" customWidth="1"/>
    <col min="12296" max="12296" width="0" style="85" hidden="1" customWidth="1"/>
    <col min="12297" max="12297" width="9.140625" style="85"/>
    <col min="12298" max="12298" width="11.5703125" style="85" customWidth="1"/>
    <col min="12299" max="12544" width="9.140625" style="85"/>
    <col min="12545" max="12545" width="33" style="85" customWidth="1"/>
    <col min="12546" max="12546" width="5.7109375" style="85" customWidth="1"/>
    <col min="12547" max="12547" width="13" style="85" customWidth="1"/>
    <col min="12548" max="12548" width="14.42578125" style="85" customWidth="1"/>
    <col min="12549" max="12549" width="12.42578125" style="85" customWidth="1"/>
    <col min="12550" max="12550" width="14" style="85" customWidth="1"/>
    <col min="12551" max="12551" width="10.42578125" style="85" customWidth="1"/>
    <col min="12552" max="12552" width="0" style="85" hidden="1" customWidth="1"/>
    <col min="12553" max="12553" width="9.140625" style="85"/>
    <col min="12554" max="12554" width="11.5703125" style="85" customWidth="1"/>
    <col min="12555" max="12800" width="9.140625" style="85"/>
    <col min="12801" max="12801" width="33" style="85" customWidth="1"/>
    <col min="12802" max="12802" width="5.7109375" style="85" customWidth="1"/>
    <col min="12803" max="12803" width="13" style="85" customWidth="1"/>
    <col min="12804" max="12804" width="14.42578125" style="85" customWidth="1"/>
    <col min="12805" max="12805" width="12.42578125" style="85" customWidth="1"/>
    <col min="12806" max="12806" width="14" style="85" customWidth="1"/>
    <col min="12807" max="12807" width="10.42578125" style="85" customWidth="1"/>
    <col min="12808" max="12808" width="0" style="85" hidden="1" customWidth="1"/>
    <col min="12809" max="12809" width="9.140625" style="85"/>
    <col min="12810" max="12810" width="11.5703125" style="85" customWidth="1"/>
    <col min="12811" max="13056" width="9.140625" style="85"/>
    <col min="13057" max="13057" width="33" style="85" customWidth="1"/>
    <col min="13058" max="13058" width="5.7109375" style="85" customWidth="1"/>
    <col min="13059" max="13059" width="13" style="85" customWidth="1"/>
    <col min="13060" max="13060" width="14.42578125" style="85" customWidth="1"/>
    <col min="13061" max="13061" width="12.42578125" style="85" customWidth="1"/>
    <col min="13062" max="13062" width="14" style="85" customWidth="1"/>
    <col min="13063" max="13063" width="10.42578125" style="85" customWidth="1"/>
    <col min="13064" max="13064" width="0" style="85" hidden="1" customWidth="1"/>
    <col min="13065" max="13065" width="9.140625" style="85"/>
    <col min="13066" max="13066" width="11.5703125" style="85" customWidth="1"/>
    <col min="13067" max="13312" width="9.140625" style="85"/>
    <col min="13313" max="13313" width="33" style="85" customWidth="1"/>
    <col min="13314" max="13314" width="5.7109375" style="85" customWidth="1"/>
    <col min="13315" max="13315" width="13" style="85" customWidth="1"/>
    <col min="13316" max="13316" width="14.42578125" style="85" customWidth="1"/>
    <col min="13317" max="13317" width="12.42578125" style="85" customWidth="1"/>
    <col min="13318" max="13318" width="14" style="85" customWidth="1"/>
    <col min="13319" max="13319" width="10.42578125" style="85" customWidth="1"/>
    <col min="13320" max="13320" width="0" style="85" hidden="1" customWidth="1"/>
    <col min="13321" max="13321" width="9.140625" style="85"/>
    <col min="13322" max="13322" width="11.5703125" style="85" customWidth="1"/>
    <col min="13323" max="13568" width="9.140625" style="85"/>
    <col min="13569" max="13569" width="33" style="85" customWidth="1"/>
    <col min="13570" max="13570" width="5.7109375" style="85" customWidth="1"/>
    <col min="13571" max="13571" width="13" style="85" customWidth="1"/>
    <col min="13572" max="13572" width="14.42578125" style="85" customWidth="1"/>
    <col min="13573" max="13573" width="12.42578125" style="85" customWidth="1"/>
    <col min="13574" max="13574" width="14" style="85" customWidth="1"/>
    <col min="13575" max="13575" width="10.42578125" style="85" customWidth="1"/>
    <col min="13576" max="13576" width="0" style="85" hidden="1" customWidth="1"/>
    <col min="13577" max="13577" width="9.140625" style="85"/>
    <col min="13578" max="13578" width="11.5703125" style="85" customWidth="1"/>
    <col min="13579" max="13824" width="9.140625" style="85"/>
    <col min="13825" max="13825" width="33" style="85" customWidth="1"/>
    <col min="13826" max="13826" width="5.7109375" style="85" customWidth="1"/>
    <col min="13827" max="13827" width="13" style="85" customWidth="1"/>
    <col min="13828" max="13828" width="14.42578125" style="85" customWidth="1"/>
    <col min="13829" max="13829" width="12.42578125" style="85" customWidth="1"/>
    <col min="13830" max="13830" width="14" style="85" customWidth="1"/>
    <col min="13831" max="13831" width="10.42578125" style="85" customWidth="1"/>
    <col min="13832" max="13832" width="0" style="85" hidden="1" customWidth="1"/>
    <col min="13833" max="13833" width="9.140625" style="85"/>
    <col min="13834" max="13834" width="11.5703125" style="85" customWidth="1"/>
    <col min="13835" max="14080" width="9.140625" style="85"/>
    <col min="14081" max="14081" width="33" style="85" customWidth="1"/>
    <col min="14082" max="14082" width="5.7109375" style="85" customWidth="1"/>
    <col min="14083" max="14083" width="13" style="85" customWidth="1"/>
    <col min="14084" max="14084" width="14.42578125" style="85" customWidth="1"/>
    <col min="14085" max="14085" width="12.42578125" style="85" customWidth="1"/>
    <col min="14086" max="14086" width="14" style="85" customWidth="1"/>
    <col min="14087" max="14087" width="10.42578125" style="85" customWidth="1"/>
    <col min="14088" max="14088" width="0" style="85" hidden="1" customWidth="1"/>
    <col min="14089" max="14089" width="9.140625" style="85"/>
    <col min="14090" max="14090" width="11.5703125" style="85" customWidth="1"/>
    <col min="14091" max="14336" width="9.140625" style="85"/>
    <col min="14337" max="14337" width="33" style="85" customWidth="1"/>
    <col min="14338" max="14338" width="5.7109375" style="85" customWidth="1"/>
    <col min="14339" max="14339" width="13" style="85" customWidth="1"/>
    <col min="14340" max="14340" width="14.42578125" style="85" customWidth="1"/>
    <col min="14341" max="14341" width="12.42578125" style="85" customWidth="1"/>
    <col min="14342" max="14342" width="14" style="85" customWidth="1"/>
    <col min="14343" max="14343" width="10.42578125" style="85" customWidth="1"/>
    <col min="14344" max="14344" width="0" style="85" hidden="1" customWidth="1"/>
    <col min="14345" max="14345" width="9.140625" style="85"/>
    <col min="14346" max="14346" width="11.5703125" style="85" customWidth="1"/>
    <col min="14347" max="14592" width="9.140625" style="85"/>
    <col min="14593" max="14593" width="33" style="85" customWidth="1"/>
    <col min="14594" max="14594" width="5.7109375" style="85" customWidth="1"/>
    <col min="14595" max="14595" width="13" style="85" customWidth="1"/>
    <col min="14596" max="14596" width="14.42578125" style="85" customWidth="1"/>
    <col min="14597" max="14597" width="12.42578125" style="85" customWidth="1"/>
    <col min="14598" max="14598" width="14" style="85" customWidth="1"/>
    <col min="14599" max="14599" width="10.42578125" style="85" customWidth="1"/>
    <col min="14600" max="14600" width="0" style="85" hidden="1" customWidth="1"/>
    <col min="14601" max="14601" width="9.140625" style="85"/>
    <col min="14602" max="14602" width="11.5703125" style="85" customWidth="1"/>
    <col min="14603" max="14848" width="9.140625" style="85"/>
    <col min="14849" max="14849" width="33" style="85" customWidth="1"/>
    <col min="14850" max="14850" width="5.7109375" style="85" customWidth="1"/>
    <col min="14851" max="14851" width="13" style="85" customWidth="1"/>
    <col min="14852" max="14852" width="14.42578125" style="85" customWidth="1"/>
    <col min="14853" max="14853" width="12.42578125" style="85" customWidth="1"/>
    <col min="14854" max="14854" width="14" style="85" customWidth="1"/>
    <col min="14855" max="14855" width="10.42578125" style="85" customWidth="1"/>
    <col min="14856" max="14856" width="0" style="85" hidden="1" customWidth="1"/>
    <col min="14857" max="14857" width="9.140625" style="85"/>
    <col min="14858" max="14858" width="11.5703125" style="85" customWidth="1"/>
    <col min="14859" max="15104" width="9.140625" style="85"/>
    <col min="15105" max="15105" width="33" style="85" customWidth="1"/>
    <col min="15106" max="15106" width="5.7109375" style="85" customWidth="1"/>
    <col min="15107" max="15107" width="13" style="85" customWidth="1"/>
    <col min="15108" max="15108" width="14.42578125" style="85" customWidth="1"/>
    <col min="15109" max="15109" width="12.42578125" style="85" customWidth="1"/>
    <col min="15110" max="15110" width="14" style="85" customWidth="1"/>
    <col min="15111" max="15111" width="10.42578125" style="85" customWidth="1"/>
    <col min="15112" max="15112" width="0" style="85" hidden="1" customWidth="1"/>
    <col min="15113" max="15113" width="9.140625" style="85"/>
    <col min="15114" max="15114" width="11.5703125" style="85" customWidth="1"/>
    <col min="15115" max="15360" width="9.140625" style="85"/>
    <col min="15361" max="15361" width="33" style="85" customWidth="1"/>
    <col min="15362" max="15362" width="5.7109375" style="85" customWidth="1"/>
    <col min="15363" max="15363" width="13" style="85" customWidth="1"/>
    <col min="15364" max="15364" width="14.42578125" style="85" customWidth="1"/>
    <col min="15365" max="15365" width="12.42578125" style="85" customWidth="1"/>
    <col min="15366" max="15366" width="14" style="85" customWidth="1"/>
    <col min="15367" max="15367" width="10.42578125" style="85" customWidth="1"/>
    <col min="15368" max="15368" width="0" style="85" hidden="1" customWidth="1"/>
    <col min="15369" max="15369" width="9.140625" style="85"/>
    <col min="15370" max="15370" width="11.5703125" style="85" customWidth="1"/>
    <col min="15371" max="15616" width="9.140625" style="85"/>
    <col min="15617" max="15617" width="33" style="85" customWidth="1"/>
    <col min="15618" max="15618" width="5.7109375" style="85" customWidth="1"/>
    <col min="15619" max="15619" width="13" style="85" customWidth="1"/>
    <col min="15620" max="15620" width="14.42578125" style="85" customWidth="1"/>
    <col min="15621" max="15621" width="12.42578125" style="85" customWidth="1"/>
    <col min="15622" max="15622" width="14" style="85" customWidth="1"/>
    <col min="15623" max="15623" width="10.42578125" style="85" customWidth="1"/>
    <col min="15624" max="15624" width="0" style="85" hidden="1" customWidth="1"/>
    <col min="15625" max="15625" width="9.140625" style="85"/>
    <col min="15626" max="15626" width="11.5703125" style="85" customWidth="1"/>
    <col min="15627" max="15872" width="9.140625" style="85"/>
    <col min="15873" max="15873" width="33" style="85" customWidth="1"/>
    <col min="15874" max="15874" width="5.7109375" style="85" customWidth="1"/>
    <col min="15875" max="15875" width="13" style="85" customWidth="1"/>
    <col min="15876" max="15876" width="14.42578125" style="85" customWidth="1"/>
    <col min="15877" max="15877" width="12.42578125" style="85" customWidth="1"/>
    <col min="15878" max="15878" width="14" style="85" customWidth="1"/>
    <col min="15879" max="15879" width="10.42578125" style="85" customWidth="1"/>
    <col min="15880" max="15880" width="0" style="85" hidden="1" customWidth="1"/>
    <col min="15881" max="15881" width="9.140625" style="85"/>
    <col min="15882" max="15882" width="11.5703125" style="85" customWidth="1"/>
    <col min="15883" max="16128" width="9.140625" style="85"/>
    <col min="16129" max="16129" width="33" style="85" customWidth="1"/>
    <col min="16130" max="16130" width="5.7109375" style="85" customWidth="1"/>
    <col min="16131" max="16131" width="13" style="85" customWidth="1"/>
    <col min="16132" max="16132" width="14.42578125" style="85" customWidth="1"/>
    <col min="16133" max="16133" width="12.42578125" style="85" customWidth="1"/>
    <col min="16134" max="16134" width="14" style="85" customWidth="1"/>
    <col min="16135" max="16135" width="10.42578125" style="85" customWidth="1"/>
    <col min="16136" max="16136" width="0" style="85" hidden="1" customWidth="1"/>
    <col min="16137" max="16137" width="9.140625" style="85"/>
    <col min="16138" max="16138" width="11.5703125" style="85" customWidth="1"/>
    <col min="16139" max="16384" width="9.140625" style="85"/>
  </cols>
  <sheetData>
    <row r="1" spans="1:10" s="105" customFormat="1" ht="19.5" customHeight="1">
      <c r="D1" s="930" t="s">
        <v>1085</v>
      </c>
      <c r="E1" s="930"/>
      <c r="F1" s="930"/>
    </row>
    <row r="2" spans="1:10" s="105" customFormat="1" ht="15" customHeight="1"/>
    <row r="3" spans="1:10" ht="15.75" customHeight="1">
      <c r="A3" s="923" t="s">
        <v>1086</v>
      </c>
      <c r="B3" s="923"/>
      <c r="C3" s="923"/>
      <c r="D3" s="923"/>
      <c r="E3" s="923"/>
      <c r="F3" s="923"/>
      <c r="G3" s="105"/>
      <c r="H3" s="105"/>
      <c r="I3" s="105"/>
      <c r="J3" s="105"/>
    </row>
    <row r="4" spans="1:10" s="105" customFormat="1" ht="15" customHeight="1">
      <c r="H4" s="93" t="s">
        <v>1087</v>
      </c>
    </row>
    <row r="5" spans="1:10" s="51" customFormat="1" ht="15" customHeight="1">
      <c r="A5" s="931" t="s">
        <v>0</v>
      </c>
      <c r="B5" s="933" t="s">
        <v>1041</v>
      </c>
      <c r="C5" s="935" t="str">
        <f>"На 31 декабря " &amp; YEAR('Общие сведения'!$D$2)-2 &amp; " г."</f>
        <v>На 31 декабря 2024 г.</v>
      </c>
      <c r="D5" s="937" t="str">
        <f>"Изменения капитала за  " &amp; YEAR('Общие сведения'!$D$2)-1 &amp; " год"</f>
        <v>Изменения капитала за  2025 год</v>
      </c>
      <c r="E5" s="938"/>
      <c r="F5" s="939" t="str">
        <f>"На 31 декабря " &amp; YEAR('Общие сведения'!$D$2)-1 &amp; " г."</f>
        <v>На 31 декабря 2025 г.</v>
      </c>
      <c r="G5" s="627"/>
      <c r="H5" s="52"/>
      <c r="I5" s="52"/>
    </row>
    <row r="6" spans="1:10" ht="45.75" customHeight="1">
      <c r="A6" s="932"/>
      <c r="B6" s="934"/>
      <c r="C6" s="936"/>
      <c r="D6" s="628" t="s">
        <v>1088</v>
      </c>
      <c r="E6" s="629" t="s">
        <v>1089</v>
      </c>
      <c r="F6" s="940"/>
      <c r="G6" s="630"/>
      <c r="H6" s="52"/>
      <c r="I6" s="52"/>
    </row>
    <row r="7" spans="1:10" ht="15.75" hidden="1">
      <c r="A7" s="631">
        <v>1</v>
      </c>
      <c r="B7" s="632"/>
      <c r="C7" s="633">
        <v>3</v>
      </c>
      <c r="D7" s="633">
        <v>4</v>
      </c>
      <c r="E7" s="633">
        <v>5</v>
      </c>
      <c r="F7" s="633">
        <v>6</v>
      </c>
      <c r="G7" s="627"/>
      <c r="H7" s="52"/>
      <c r="I7" s="52"/>
    </row>
    <row r="8" spans="1:10" ht="25.5" customHeight="1">
      <c r="A8" s="114" t="s">
        <v>1090</v>
      </c>
      <c r="B8" s="619">
        <v>3400</v>
      </c>
      <c r="C8" s="112">
        <v>0</v>
      </c>
      <c r="D8" s="112">
        <v>0</v>
      </c>
      <c r="E8" s="112">
        <v>0</v>
      </c>
      <c r="F8" s="621">
        <v>0</v>
      </c>
      <c r="G8" s="627"/>
      <c r="H8" s="52"/>
      <c r="I8" s="52"/>
    </row>
    <row r="9" spans="1:10" ht="15.75">
      <c r="A9" s="634" t="s">
        <v>1091</v>
      </c>
      <c r="B9" s="226"/>
      <c r="C9" s="108"/>
      <c r="D9" s="108"/>
      <c r="E9" s="108"/>
      <c r="F9" s="635"/>
      <c r="G9" s="627"/>
      <c r="H9" s="52"/>
      <c r="I9" s="52"/>
    </row>
    <row r="10" spans="1:10" ht="15.75">
      <c r="A10" s="636" t="s">
        <v>1092</v>
      </c>
      <c r="B10" s="602">
        <v>3410</v>
      </c>
      <c r="C10" s="104">
        <v>0</v>
      </c>
      <c r="D10" s="104">
        <v>0</v>
      </c>
      <c r="E10" s="104">
        <v>0</v>
      </c>
      <c r="F10" s="604">
        <v>0</v>
      </c>
      <c r="G10" s="627"/>
      <c r="H10" s="52"/>
      <c r="I10" s="52"/>
    </row>
    <row r="11" spans="1:10" ht="15.75">
      <c r="A11" s="636" t="s">
        <v>1093</v>
      </c>
      <c r="B11" s="602">
        <v>3420</v>
      </c>
      <c r="C11" s="104">
        <v>0</v>
      </c>
      <c r="D11" s="104">
        <v>0</v>
      </c>
      <c r="E11" s="104">
        <v>0</v>
      </c>
      <c r="F11" s="604">
        <v>0</v>
      </c>
      <c r="G11" s="627"/>
      <c r="H11" s="52"/>
      <c r="I11" s="52"/>
    </row>
    <row r="12" spans="1:10" ht="15.75">
      <c r="A12" s="637" t="s">
        <v>1094</v>
      </c>
      <c r="B12" s="615">
        <v>3500</v>
      </c>
      <c r="C12" s="531">
        <v>0</v>
      </c>
      <c r="D12" s="531">
        <v>0</v>
      </c>
      <c r="E12" s="531">
        <v>0</v>
      </c>
      <c r="F12" s="618">
        <v>0</v>
      </c>
      <c r="G12" s="627"/>
      <c r="H12" s="52"/>
      <c r="I12" s="52"/>
    </row>
    <row r="13" spans="1:10" ht="15.75">
      <c r="A13" s="111" t="s">
        <v>207</v>
      </c>
      <c r="B13" s="619"/>
      <c r="C13" s="112"/>
      <c r="D13" s="112"/>
      <c r="E13" s="112"/>
      <c r="F13" s="621"/>
      <c r="G13" s="627"/>
      <c r="H13" s="52"/>
      <c r="I13" s="52"/>
    </row>
    <row r="14" spans="1:10" ht="40.5" customHeight="1">
      <c r="A14" s="601" t="s">
        <v>1095</v>
      </c>
      <c r="B14" s="602">
        <v>3401</v>
      </c>
      <c r="C14" s="104">
        <v>0</v>
      </c>
      <c r="D14" s="104">
        <v>0</v>
      </c>
      <c r="E14" s="104">
        <v>0</v>
      </c>
      <c r="F14" s="604">
        <v>0</v>
      </c>
      <c r="G14" s="627"/>
      <c r="H14" s="52"/>
      <c r="I14" s="52"/>
    </row>
    <row r="15" spans="1:10" ht="15.75">
      <c r="A15" s="634" t="s">
        <v>1091</v>
      </c>
      <c r="B15" s="226"/>
      <c r="C15" s="108"/>
      <c r="D15" s="108"/>
      <c r="E15" s="108"/>
      <c r="F15" s="635"/>
      <c r="G15" s="627"/>
      <c r="H15" s="52"/>
      <c r="I15" s="52"/>
    </row>
    <row r="16" spans="1:10" ht="15.75">
      <c r="A16" s="636" t="s">
        <v>1092</v>
      </c>
      <c r="B16" s="602">
        <v>3411</v>
      </c>
      <c r="C16" s="104">
        <v>0</v>
      </c>
      <c r="D16" s="104">
        <v>0</v>
      </c>
      <c r="E16" s="104">
        <v>0</v>
      </c>
      <c r="F16" s="604">
        <v>0</v>
      </c>
      <c r="G16" s="627"/>
      <c r="H16" s="52"/>
      <c r="I16" s="52"/>
    </row>
    <row r="17" spans="1:9" ht="15.75">
      <c r="A17" s="636" t="s">
        <v>1093</v>
      </c>
      <c r="B17" s="602">
        <v>3421</v>
      </c>
      <c r="C17" s="104">
        <v>0</v>
      </c>
      <c r="D17" s="104">
        <v>0</v>
      </c>
      <c r="E17" s="104">
        <v>0</v>
      </c>
      <c r="F17" s="604">
        <v>0</v>
      </c>
      <c r="G17" s="627"/>
      <c r="H17" s="52"/>
      <c r="I17" s="52"/>
    </row>
    <row r="18" spans="1:9" ht="15.75">
      <c r="A18" s="637" t="s">
        <v>1094</v>
      </c>
      <c r="B18" s="615">
        <v>3501</v>
      </c>
      <c r="C18" s="531">
        <v>0</v>
      </c>
      <c r="D18" s="531">
        <v>0</v>
      </c>
      <c r="E18" s="531">
        <v>0</v>
      </c>
      <c r="F18" s="618">
        <v>0</v>
      </c>
      <c r="G18" s="627"/>
      <c r="H18" s="52"/>
      <c r="I18" s="52"/>
    </row>
    <row r="19" spans="1:9" ht="26.25" customHeight="1">
      <c r="A19" s="114" t="s">
        <v>1096</v>
      </c>
      <c r="B19" s="619">
        <v>3402</v>
      </c>
      <c r="C19" s="112">
        <v>0</v>
      </c>
      <c r="D19" s="112">
        <v>0</v>
      </c>
      <c r="E19" s="112">
        <v>0</v>
      </c>
      <c r="F19" s="621">
        <v>0</v>
      </c>
      <c r="G19" s="627"/>
      <c r="H19" s="52"/>
      <c r="I19" s="52"/>
    </row>
    <row r="20" spans="1:9" ht="15.75">
      <c r="A20" s="634" t="s">
        <v>1091</v>
      </c>
      <c r="B20" s="226"/>
      <c r="C20" s="108"/>
      <c r="D20" s="108"/>
      <c r="E20" s="108"/>
      <c r="F20" s="635"/>
      <c r="G20" s="627"/>
      <c r="H20" s="52"/>
      <c r="I20" s="52"/>
    </row>
    <row r="21" spans="1:9" ht="15.75">
      <c r="A21" s="608" t="s">
        <v>1092</v>
      </c>
      <c r="B21" s="602">
        <v>3412</v>
      </c>
      <c r="C21" s="104">
        <v>0</v>
      </c>
      <c r="D21" s="104">
        <v>0</v>
      </c>
      <c r="E21" s="104">
        <v>0</v>
      </c>
      <c r="F21" s="604">
        <v>0</v>
      </c>
      <c r="G21" s="627"/>
      <c r="H21" s="52"/>
      <c r="I21" s="52"/>
    </row>
    <row r="22" spans="1:9" ht="15.75">
      <c r="A22" s="608" t="s">
        <v>1093</v>
      </c>
      <c r="B22" s="602">
        <v>3422</v>
      </c>
      <c r="C22" s="104">
        <v>0</v>
      </c>
      <c r="D22" s="104">
        <v>0</v>
      </c>
      <c r="E22" s="104">
        <v>0</v>
      </c>
      <c r="F22" s="604">
        <v>0</v>
      </c>
      <c r="G22" s="627"/>
      <c r="H22" s="52"/>
      <c r="I22" s="52"/>
    </row>
    <row r="23" spans="1:9" ht="15.75">
      <c r="A23" s="637" t="s">
        <v>1094</v>
      </c>
      <c r="B23" s="615">
        <v>3502</v>
      </c>
      <c r="C23" s="531">
        <v>0</v>
      </c>
      <c r="D23" s="531">
        <v>0</v>
      </c>
      <c r="E23" s="531">
        <v>0</v>
      </c>
      <c r="F23" s="618">
        <v>0</v>
      </c>
      <c r="G23" s="627"/>
      <c r="H23" s="52"/>
      <c r="I23" s="52"/>
    </row>
    <row r="24" spans="1:9" ht="27" customHeight="1">
      <c r="A24" s="114" t="s">
        <v>1097</v>
      </c>
      <c r="B24" s="619">
        <v>3403</v>
      </c>
      <c r="C24" s="112">
        <v>0</v>
      </c>
      <c r="D24" s="112">
        <v>0</v>
      </c>
      <c r="E24" s="112">
        <v>0</v>
      </c>
      <c r="F24" s="621">
        <v>0</v>
      </c>
      <c r="G24" s="627"/>
      <c r="H24" s="52"/>
      <c r="I24" s="52"/>
    </row>
    <row r="25" spans="1:9" ht="15.75">
      <c r="A25" s="634" t="s">
        <v>1091</v>
      </c>
      <c r="B25" s="226"/>
      <c r="C25" s="108"/>
      <c r="D25" s="108"/>
      <c r="E25" s="108"/>
      <c r="F25" s="635"/>
      <c r="G25" s="627"/>
      <c r="H25" s="52"/>
      <c r="I25" s="52"/>
    </row>
    <row r="26" spans="1:9" ht="15.75">
      <c r="A26" s="636" t="s">
        <v>1092</v>
      </c>
      <c r="B26" s="602">
        <v>3413</v>
      </c>
      <c r="C26" s="104">
        <v>0</v>
      </c>
      <c r="D26" s="104">
        <v>0</v>
      </c>
      <c r="E26" s="104">
        <v>0</v>
      </c>
      <c r="F26" s="604">
        <v>0</v>
      </c>
      <c r="G26" s="627"/>
      <c r="H26" s="52"/>
      <c r="I26" s="52"/>
    </row>
    <row r="27" spans="1:9" ht="15.75">
      <c r="A27" s="636" t="s">
        <v>1093</v>
      </c>
      <c r="B27" s="602">
        <v>3423</v>
      </c>
      <c r="C27" s="104">
        <v>0</v>
      </c>
      <c r="D27" s="104">
        <v>0</v>
      </c>
      <c r="E27" s="104">
        <v>0</v>
      </c>
      <c r="F27" s="604">
        <v>0</v>
      </c>
      <c r="G27" s="110"/>
      <c r="H27" s="52"/>
      <c r="I27" s="52"/>
    </row>
    <row r="28" spans="1:9" ht="12" customHeight="1">
      <c r="A28" s="637" t="s">
        <v>1094</v>
      </c>
      <c r="B28" s="615">
        <v>3503</v>
      </c>
      <c r="C28" s="531">
        <v>0</v>
      </c>
      <c r="D28" s="531">
        <v>0</v>
      </c>
      <c r="E28" s="531">
        <v>0</v>
      </c>
      <c r="F28" s="618">
        <v>0</v>
      </c>
      <c r="G28" s="110"/>
      <c r="H28" s="52"/>
      <c r="I28" s="52"/>
    </row>
    <row r="29" spans="1:9" ht="35.25" customHeight="1">
      <c r="A29" s="114" t="s">
        <v>1098</v>
      </c>
      <c r="B29" s="619" t="s">
        <v>1099</v>
      </c>
      <c r="C29" s="112">
        <v>0</v>
      </c>
      <c r="D29" s="112">
        <v>0</v>
      </c>
      <c r="E29" s="112">
        <v>0</v>
      </c>
      <c r="F29" s="621">
        <v>0</v>
      </c>
      <c r="G29" s="627"/>
      <c r="H29" s="52"/>
      <c r="I29" s="52"/>
    </row>
    <row r="30" spans="1:9" ht="15.75">
      <c r="A30" s="634" t="s">
        <v>1091</v>
      </c>
      <c r="B30" s="226"/>
      <c r="C30" s="108"/>
      <c r="D30" s="108"/>
      <c r="E30" s="108"/>
      <c r="F30" s="635"/>
      <c r="G30" s="627"/>
      <c r="H30" s="52"/>
      <c r="I30" s="52"/>
    </row>
    <row r="31" spans="1:9" ht="15.75">
      <c r="A31" s="636" t="s">
        <v>1092</v>
      </c>
      <c r="B31" s="602" t="s">
        <v>1100</v>
      </c>
      <c r="C31" s="104">
        <v>0</v>
      </c>
      <c r="D31" s="104">
        <v>0</v>
      </c>
      <c r="E31" s="104">
        <v>0</v>
      </c>
      <c r="F31" s="604">
        <v>0</v>
      </c>
      <c r="G31" s="627"/>
      <c r="H31" s="52"/>
      <c r="I31" s="52"/>
    </row>
    <row r="32" spans="1:9" ht="15.75">
      <c r="A32" s="636" t="s">
        <v>1093</v>
      </c>
      <c r="B32" s="602" t="s">
        <v>1101</v>
      </c>
      <c r="C32" s="104">
        <v>0</v>
      </c>
      <c r="D32" s="104">
        <v>0</v>
      </c>
      <c r="E32" s="104">
        <v>0</v>
      </c>
      <c r="F32" s="604">
        <v>0</v>
      </c>
      <c r="G32" s="110"/>
      <c r="H32" s="52"/>
      <c r="I32" s="52"/>
    </row>
    <row r="33" spans="1:10" ht="12" customHeight="1">
      <c r="A33" s="637" t="s">
        <v>1094</v>
      </c>
      <c r="B33" s="615" t="s">
        <v>1102</v>
      </c>
      <c r="C33" s="531">
        <v>0</v>
      </c>
      <c r="D33" s="531">
        <v>0</v>
      </c>
      <c r="E33" s="531">
        <v>0</v>
      </c>
      <c r="F33" s="618">
        <v>0</v>
      </c>
      <c r="G33" s="110"/>
      <c r="H33" s="52"/>
      <c r="I33" s="52"/>
    </row>
    <row r="34" spans="1:10" ht="36.75" customHeight="1">
      <c r="A34" s="114" t="s">
        <v>1103</v>
      </c>
      <c r="B34" s="619" t="s">
        <v>1104</v>
      </c>
      <c r="C34" s="112">
        <v>0</v>
      </c>
      <c r="D34" s="112">
        <v>0</v>
      </c>
      <c r="E34" s="112">
        <v>0</v>
      </c>
      <c r="F34" s="621">
        <v>0</v>
      </c>
      <c r="G34" s="627"/>
      <c r="H34" s="52"/>
      <c r="I34" s="52"/>
    </row>
    <row r="35" spans="1:10" ht="15.75">
      <c r="A35" s="634" t="s">
        <v>1091</v>
      </c>
      <c r="B35" s="226"/>
      <c r="C35" s="108"/>
      <c r="D35" s="108"/>
      <c r="E35" s="108"/>
      <c r="F35" s="635"/>
      <c r="G35" s="627"/>
      <c r="H35" s="52"/>
      <c r="I35" s="52"/>
    </row>
    <row r="36" spans="1:10" ht="15.75">
      <c r="A36" s="636" t="s">
        <v>1092</v>
      </c>
      <c r="B36" s="602" t="s">
        <v>1105</v>
      </c>
      <c r="C36" s="104">
        <v>0</v>
      </c>
      <c r="D36" s="104">
        <v>0</v>
      </c>
      <c r="E36" s="104">
        <v>0</v>
      </c>
      <c r="F36" s="604">
        <v>0</v>
      </c>
      <c r="G36" s="627"/>
      <c r="H36" s="52"/>
      <c r="I36" s="52"/>
    </row>
    <row r="37" spans="1:10" ht="15.75">
      <c r="A37" s="636" t="s">
        <v>1093</v>
      </c>
      <c r="B37" s="602" t="s">
        <v>1106</v>
      </c>
      <c r="C37" s="104">
        <v>0</v>
      </c>
      <c r="D37" s="104">
        <v>0</v>
      </c>
      <c r="E37" s="104">
        <v>0</v>
      </c>
      <c r="F37" s="604">
        <v>0</v>
      </c>
      <c r="G37" s="110"/>
      <c r="H37" s="52"/>
      <c r="I37" s="52"/>
    </row>
    <row r="38" spans="1:10" ht="12" customHeight="1">
      <c r="A38" s="637" t="s">
        <v>1094</v>
      </c>
      <c r="B38" s="615" t="s">
        <v>1107</v>
      </c>
      <c r="C38" s="531">
        <v>0</v>
      </c>
      <c r="D38" s="531">
        <v>0</v>
      </c>
      <c r="E38" s="531">
        <v>0</v>
      </c>
      <c r="F38" s="618">
        <v>0</v>
      </c>
      <c r="G38" s="110"/>
      <c r="H38" s="52"/>
      <c r="I38" s="52"/>
    </row>
    <row r="39" spans="1:10" ht="20.25" customHeight="1">
      <c r="A39" s="638"/>
      <c r="B39" s="639"/>
      <c r="C39" s="110"/>
      <c r="D39" s="110"/>
      <c r="E39" s="110"/>
      <c r="F39" s="110"/>
      <c r="G39" s="110"/>
      <c r="H39" s="52"/>
      <c r="I39" s="52"/>
    </row>
    <row r="40" spans="1:10" ht="30.75" customHeight="1">
      <c r="A40" s="90"/>
      <c r="B40" s="88"/>
      <c r="C40" s="109"/>
      <c r="D40" s="930" t="s">
        <v>1108</v>
      </c>
      <c r="E40" s="930"/>
      <c r="F40" s="930"/>
      <c r="G40" s="110"/>
      <c r="H40" s="110"/>
      <c r="I40" s="110"/>
      <c r="J40" s="52"/>
    </row>
    <row r="41" spans="1:10" ht="15.75">
      <c r="A41" s="941" t="s">
        <v>1109</v>
      </c>
      <c r="B41" s="941"/>
      <c r="C41" s="941"/>
      <c r="D41" s="941"/>
      <c r="E41" s="941"/>
      <c r="F41" s="640"/>
      <c r="G41" s="110"/>
      <c r="H41" s="110"/>
      <c r="I41" s="110"/>
      <c r="J41" s="52"/>
    </row>
    <row r="42" spans="1:10" ht="8.25" customHeight="1">
      <c r="A42" s="640"/>
      <c r="B42" s="640"/>
      <c r="C42" s="640"/>
      <c r="D42" s="640"/>
      <c r="E42" s="640"/>
      <c r="F42" s="640"/>
      <c r="G42" s="110"/>
      <c r="H42" s="110"/>
      <c r="I42" s="110"/>
      <c r="J42" s="52"/>
    </row>
    <row r="43" spans="1:10" ht="29.25" customHeight="1">
      <c r="A43" s="641" t="s">
        <v>0</v>
      </c>
      <c r="B43" s="642" t="s">
        <v>1041</v>
      </c>
      <c r="C43" s="642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D43" s="642" t="str">
        <f>"На 31 декабря " &amp; YEAR('Общие сведения'!$D$2)-1 &amp; " г."</f>
        <v>На 31 декабря 2025 г.</v>
      </c>
      <c r="E43" s="643" t="str">
        <f>"На 31 декабря " &amp; YEAR('Общие сведения'!$D$2)-2 &amp; " г."</f>
        <v>На 31 декабря 2024 г.</v>
      </c>
      <c r="F43" s="109"/>
      <c r="G43" s="52"/>
    </row>
    <row r="44" spans="1:10" ht="9.75" hidden="1" customHeight="1">
      <c r="A44" s="644">
        <v>1</v>
      </c>
      <c r="B44" s="645"/>
      <c r="C44" s="645">
        <v>3</v>
      </c>
      <c r="D44" s="645"/>
      <c r="E44" s="646"/>
      <c r="F44" s="109"/>
      <c r="G44" s="52"/>
    </row>
    <row r="45" spans="1:10" ht="26.25" customHeight="1">
      <c r="A45" s="647" t="s">
        <v>1110</v>
      </c>
      <c r="B45" s="648">
        <v>3600</v>
      </c>
      <c r="C45" s="649">
        <v>0</v>
      </c>
      <c r="D45" s="649">
        <v>0</v>
      </c>
      <c r="E45" s="650">
        <v>0</v>
      </c>
      <c r="F45" s="109"/>
      <c r="G45" s="52"/>
    </row>
    <row r="46" spans="1:10" ht="32.25" customHeight="1">
      <c r="A46" s="90"/>
      <c r="B46" s="88"/>
      <c r="C46" s="627"/>
      <c r="D46" s="627"/>
      <c r="E46" s="627"/>
      <c r="F46" s="627"/>
      <c r="G46" s="627"/>
      <c r="H46" s="627"/>
      <c r="I46" s="627"/>
      <c r="J46" s="52"/>
    </row>
    <row r="47" spans="1:10" ht="24" customHeight="1">
      <c r="A47" s="651" t="e">
        <f>'Общие сведения'!#REF!</f>
        <v>#REF!</v>
      </c>
      <c r="B47" s="652"/>
      <c r="C47" s="653"/>
      <c r="D47" s="942" t="e">
        <f>'Общие сведения'!#REF!</f>
        <v>#REF!</v>
      </c>
      <c r="E47" s="942"/>
      <c r="F47" s="942"/>
      <c r="G47" s="627"/>
      <c r="H47" s="627"/>
      <c r="I47" s="627"/>
      <c r="J47" s="52"/>
    </row>
    <row r="48" spans="1:10" ht="24" customHeight="1">
      <c r="A48" s="943" t="s">
        <v>1111</v>
      </c>
      <c r="B48" s="943"/>
      <c r="C48" s="943"/>
      <c r="D48" s="943" t="s">
        <v>1112</v>
      </c>
      <c r="E48" s="943"/>
      <c r="F48" s="943"/>
      <c r="G48" s="627"/>
      <c r="H48" s="627"/>
      <c r="I48" s="627"/>
      <c r="J48" s="52"/>
    </row>
    <row r="49" spans="1:10" ht="15.75" customHeight="1">
      <c r="A49" s="654" t="s">
        <v>1113</v>
      </c>
      <c r="B49" s="655"/>
      <c r="C49" s="656"/>
      <c r="D49" s="929" t="s">
        <v>1114</v>
      </c>
      <c r="E49" s="929"/>
      <c r="F49" s="929"/>
      <c r="G49" s="110"/>
      <c r="H49" s="110"/>
      <c r="I49" s="110"/>
      <c r="J49" s="52"/>
    </row>
    <row r="50" spans="1:10" ht="20.25" customHeight="1">
      <c r="A50" s="657" t="s">
        <v>1115</v>
      </c>
      <c r="B50" s="88"/>
      <c r="C50" s="52"/>
      <c r="D50" s="52"/>
      <c r="E50" s="52"/>
      <c r="F50" s="52"/>
      <c r="G50" s="52"/>
      <c r="H50" s="52"/>
      <c r="I50" s="52"/>
      <c r="J50" s="52"/>
    </row>
    <row r="51" spans="1:10" ht="20.25" customHeight="1">
      <c r="A51" s="90"/>
      <c r="B51" s="88"/>
      <c r="C51" s="52"/>
      <c r="D51" s="52"/>
      <c r="E51" s="52"/>
      <c r="F51" s="52"/>
      <c r="G51" s="52"/>
      <c r="H51" s="52"/>
      <c r="I51" s="52"/>
      <c r="J51" s="52"/>
    </row>
    <row r="52" spans="1:10" ht="20.25" customHeight="1">
      <c r="A52" s="658" t="s">
        <v>159</v>
      </c>
      <c r="C52" s="659"/>
    </row>
    <row r="53" spans="1:10" ht="45.95" customHeight="1">
      <c r="A53" s="660" t="s">
        <v>160</v>
      </c>
      <c r="B53" s="661" t="s">
        <v>1116</v>
      </c>
      <c r="C53" s="662">
        <f>C19+C24+C29+C34</f>
        <v>0</v>
      </c>
      <c r="D53" s="662">
        <f t="shared" ref="D53:F53" si="0">D19+D24+D29+D34</f>
        <v>0</v>
      </c>
      <c r="E53" s="662">
        <f t="shared" si="0"/>
        <v>0</v>
      </c>
      <c r="F53" s="663">
        <f t="shared" si="0"/>
        <v>0</v>
      </c>
    </row>
    <row r="54" spans="1:10" ht="12.75" customHeight="1">
      <c r="A54" s="664" t="s">
        <v>1091</v>
      </c>
      <c r="B54" s="665"/>
      <c r="C54" s="666"/>
      <c r="D54" s="666"/>
      <c r="E54" s="666"/>
      <c r="F54" s="667"/>
    </row>
    <row r="55" spans="1:10" ht="45.95" customHeight="1">
      <c r="A55" s="668" t="s">
        <v>1092</v>
      </c>
      <c r="B55" s="665" t="s">
        <v>1117</v>
      </c>
      <c r="C55" s="666">
        <f t="shared" ref="C55:F57" si="1">C21+C26+C31+C36</f>
        <v>0</v>
      </c>
      <c r="D55" s="666">
        <f t="shared" si="1"/>
        <v>0</v>
      </c>
      <c r="E55" s="666">
        <f t="shared" si="1"/>
        <v>0</v>
      </c>
      <c r="F55" s="667">
        <f t="shared" si="1"/>
        <v>0</v>
      </c>
    </row>
    <row r="56" spans="1:10" ht="45.95" customHeight="1">
      <c r="A56" s="668" t="s">
        <v>1093</v>
      </c>
      <c r="B56" s="665" t="s">
        <v>1118</v>
      </c>
      <c r="C56" s="666">
        <f t="shared" si="1"/>
        <v>0</v>
      </c>
      <c r="D56" s="666">
        <f t="shared" si="1"/>
        <v>0</v>
      </c>
      <c r="E56" s="666">
        <f t="shared" si="1"/>
        <v>0</v>
      </c>
      <c r="F56" s="667">
        <f t="shared" si="1"/>
        <v>0</v>
      </c>
    </row>
    <row r="57" spans="1:10" ht="45.95" customHeight="1">
      <c r="A57" s="669" t="s">
        <v>1094</v>
      </c>
      <c r="B57" s="670" t="s">
        <v>1119</v>
      </c>
      <c r="C57" s="671">
        <f t="shared" si="1"/>
        <v>0</v>
      </c>
      <c r="D57" s="671">
        <f t="shared" si="1"/>
        <v>0</v>
      </c>
      <c r="E57" s="671">
        <f t="shared" si="1"/>
        <v>0</v>
      </c>
      <c r="F57" s="672">
        <f t="shared" si="1"/>
        <v>0</v>
      </c>
    </row>
  </sheetData>
  <mergeCells count="13">
    <mergeCell ref="D49:F49"/>
    <mergeCell ref="D1:F1"/>
    <mergeCell ref="A3:F3"/>
    <mergeCell ref="A5:A6"/>
    <mergeCell ref="B5:B6"/>
    <mergeCell ref="C5:C6"/>
    <mergeCell ref="D5:E5"/>
    <mergeCell ref="F5:F6"/>
    <mergeCell ref="D40:F40"/>
    <mergeCell ref="A41:E41"/>
    <mergeCell ref="D47:F47"/>
    <mergeCell ref="A48:C48"/>
    <mergeCell ref="D48:F48"/>
  </mergeCells>
  <pageMargins left="0.86614173228346458" right="0.15748031496062992" top="0.86614173228346458" bottom="0.74803149606299213" header="0.23622047244094491" footer="0.23622047244094491"/>
  <pageSetup paperSize="9" scale="94" orientation="portrait" r:id="rId1"/>
  <headerFooter alignWithMargins="0"/>
  <rowBreaks count="1" manualBreakCount="1">
    <brk id="3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theme="6" tint="0.59999389629810485"/>
  </sheetPr>
  <dimension ref="A1:G316"/>
  <sheetViews>
    <sheetView topLeftCell="A2" zoomScaleNormal="100" workbookViewId="0">
      <selection activeCell="J31" sqref="J31"/>
    </sheetView>
  </sheetViews>
  <sheetFormatPr defaultRowHeight="12.75"/>
  <cols>
    <col min="1" max="1" width="5.28515625" style="425" bestFit="1" customWidth="1"/>
    <col min="2" max="2" width="58.28515625" style="425" customWidth="1"/>
    <col min="3" max="3" width="9.42578125" style="425" customWidth="1"/>
    <col min="4" max="5" width="14.7109375" style="425" customWidth="1"/>
    <col min="6" max="257" width="9.140625" style="425"/>
    <col min="258" max="258" width="58.28515625" style="425" customWidth="1"/>
    <col min="259" max="259" width="5.7109375" style="425" customWidth="1"/>
    <col min="260" max="261" width="14.7109375" style="425" customWidth="1"/>
    <col min="262" max="513" width="9.140625" style="425"/>
    <col min="514" max="514" width="58.28515625" style="425" customWidth="1"/>
    <col min="515" max="515" width="5.7109375" style="425" customWidth="1"/>
    <col min="516" max="517" width="14.7109375" style="425" customWidth="1"/>
    <col min="518" max="769" width="9.140625" style="425"/>
    <col min="770" max="770" width="58.28515625" style="425" customWidth="1"/>
    <col min="771" max="771" width="5.7109375" style="425" customWidth="1"/>
    <col min="772" max="773" width="14.7109375" style="425" customWidth="1"/>
    <col min="774" max="1025" width="9.140625" style="425"/>
    <col min="1026" max="1026" width="58.28515625" style="425" customWidth="1"/>
    <col min="1027" max="1027" width="5.7109375" style="425" customWidth="1"/>
    <col min="1028" max="1029" width="14.7109375" style="425" customWidth="1"/>
    <col min="1030" max="1281" width="9.140625" style="425"/>
    <col min="1282" max="1282" width="58.28515625" style="425" customWidth="1"/>
    <col min="1283" max="1283" width="5.7109375" style="425" customWidth="1"/>
    <col min="1284" max="1285" width="14.7109375" style="425" customWidth="1"/>
    <col min="1286" max="1537" width="9.140625" style="425"/>
    <col min="1538" max="1538" width="58.28515625" style="425" customWidth="1"/>
    <col min="1539" max="1539" width="5.7109375" style="425" customWidth="1"/>
    <col min="1540" max="1541" width="14.7109375" style="425" customWidth="1"/>
    <col min="1542" max="1793" width="9.140625" style="425"/>
    <col min="1794" max="1794" width="58.28515625" style="425" customWidth="1"/>
    <col min="1795" max="1795" width="5.7109375" style="425" customWidth="1"/>
    <col min="1796" max="1797" width="14.7109375" style="425" customWidth="1"/>
    <col min="1798" max="2049" width="9.140625" style="425"/>
    <col min="2050" max="2050" width="58.28515625" style="425" customWidth="1"/>
    <col min="2051" max="2051" width="5.7109375" style="425" customWidth="1"/>
    <col min="2052" max="2053" width="14.7109375" style="425" customWidth="1"/>
    <col min="2054" max="2305" width="9.140625" style="425"/>
    <col min="2306" max="2306" width="58.28515625" style="425" customWidth="1"/>
    <col min="2307" max="2307" width="5.7109375" style="425" customWidth="1"/>
    <col min="2308" max="2309" width="14.7109375" style="425" customWidth="1"/>
    <col min="2310" max="2561" width="9.140625" style="425"/>
    <col min="2562" max="2562" width="58.28515625" style="425" customWidth="1"/>
    <col min="2563" max="2563" width="5.7109375" style="425" customWidth="1"/>
    <col min="2564" max="2565" width="14.7109375" style="425" customWidth="1"/>
    <col min="2566" max="2817" width="9.140625" style="425"/>
    <col min="2818" max="2818" width="58.28515625" style="425" customWidth="1"/>
    <col min="2819" max="2819" width="5.7109375" style="425" customWidth="1"/>
    <col min="2820" max="2821" width="14.7109375" style="425" customWidth="1"/>
    <col min="2822" max="3073" width="9.140625" style="425"/>
    <col min="3074" max="3074" width="58.28515625" style="425" customWidth="1"/>
    <col min="3075" max="3075" width="5.7109375" style="425" customWidth="1"/>
    <col min="3076" max="3077" width="14.7109375" style="425" customWidth="1"/>
    <col min="3078" max="3329" width="9.140625" style="425"/>
    <col min="3330" max="3330" width="58.28515625" style="425" customWidth="1"/>
    <col min="3331" max="3331" width="5.7109375" style="425" customWidth="1"/>
    <col min="3332" max="3333" width="14.7109375" style="425" customWidth="1"/>
    <col min="3334" max="3585" width="9.140625" style="425"/>
    <col min="3586" max="3586" width="58.28515625" style="425" customWidth="1"/>
    <col min="3587" max="3587" width="5.7109375" style="425" customWidth="1"/>
    <col min="3588" max="3589" width="14.7109375" style="425" customWidth="1"/>
    <col min="3590" max="3841" width="9.140625" style="425"/>
    <col min="3842" max="3842" width="58.28515625" style="425" customWidth="1"/>
    <col min="3843" max="3843" width="5.7109375" style="425" customWidth="1"/>
    <col min="3844" max="3845" width="14.7109375" style="425" customWidth="1"/>
    <col min="3846" max="4097" width="9.140625" style="425"/>
    <col min="4098" max="4098" width="58.28515625" style="425" customWidth="1"/>
    <col min="4099" max="4099" width="5.7109375" style="425" customWidth="1"/>
    <col min="4100" max="4101" width="14.7109375" style="425" customWidth="1"/>
    <col min="4102" max="4353" width="9.140625" style="425"/>
    <col min="4354" max="4354" width="58.28515625" style="425" customWidth="1"/>
    <col min="4355" max="4355" width="5.7109375" style="425" customWidth="1"/>
    <col min="4356" max="4357" width="14.7109375" style="425" customWidth="1"/>
    <col min="4358" max="4609" width="9.140625" style="425"/>
    <col min="4610" max="4610" width="58.28515625" style="425" customWidth="1"/>
    <col min="4611" max="4611" width="5.7109375" style="425" customWidth="1"/>
    <col min="4612" max="4613" width="14.7109375" style="425" customWidth="1"/>
    <col min="4614" max="4865" width="9.140625" style="425"/>
    <col min="4866" max="4866" width="58.28515625" style="425" customWidth="1"/>
    <col min="4867" max="4867" width="5.7109375" style="425" customWidth="1"/>
    <col min="4868" max="4869" width="14.7109375" style="425" customWidth="1"/>
    <col min="4870" max="5121" width="9.140625" style="425"/>
    <col min="5122" max="5122" width="58.28515625" style="425" customWidth="1"/>
    <col min="5123" max="5123" width="5.7109375" style="425" customWidth="1"/>
    <col min="5124" max="5125" width="14.7109375" style="425" customWidth="1"/>
    <col min="5126" max="5377" width="9.140625" style="425"/>
    <col min="5378" max="5378" width="58.28515625" style="425" customWidth="1"/>
    <col min="5379" max="5379" width="5.7109375" style="425" customWidth="1"/>
    <col min="5380" max="5381" width="14.7109375" style="425" customWidth="1"/>
    <col min="5382" max="5633" width="9.140625" style="425"/>
    <col min="5634" max="5634" width="58.28515625" style="425" customWidth="1"/>
    <col min="5635" max="5635" width="5.7109375" style="425" customWidth="1"/>
    <col min="5636" max="5637" width="14.7109375" style="425" customWidth="1"/>
    <col min="5638" max="5889" width="9.140625" style="425"/>
    <col min="5890" max="5890" width="58.28515625" style="425" customWidth="1"/>
    <col min="5891" max="5891" width="5.7109375" style="425" customWidth="1"/>
    <col min="5892" max="5893" width="14.7109375" style="425" customWidth="1"/>
    <col min="5894" max="6145" width="9.140625" style="425"/>
    <col min="6146" max="6146" width="58.28515625" style="425" customWidth="1"/>
    <col min="6147" max="6147" width="5.7109375" style="425" customWidth="1"/>
    <col min="6148" max="6149" width="14.7109375" style="425" customWidth="1"/>
    <col min="6150" max="6401" width="9.140625" style="425"/>
    <col min="6402" max="6402" width="58.28515625" style="425" customWidth="1"/>
    <col min="6403" max="6403" width="5.7109375" style="425" customWidth="1"/>
    <col min="6404" max="6405" width="14.7109375" style="425" customWidth="1"/>
    <col min="6406" max="6657" width="9.140625" style="425"/>
    <col min="6658" max="6658" width="58.28515625" style="425" customWidth="1"/>
    <col min="6659" max="6659" width="5.7109375" style="425" customWidth="1"/>
    <col min="6660" max="6661" width="14.7109375" style="425" customWidth="1"/>
    <col min="6662" max="6913" width="9.140625" style="425"/>
    <col min="6914" max="6914" width="58.28515625" style="425" customWidth="1"/>
    <col min="6915" max="6915" width="5.7109375" style="425" customWidth="1"/>
    <col min="6916" max="6917" width="14.7109375" style="425" customWidth="1"/>
    <col min="6918" max="7169" width="9.140625" style="425"/>
    <col min="7170" max="7170" width="58.28515625" style="425" customWidth="1"/>
    <col min="7171" max="7171" width="5.7109375" style="425" customWidth="1"/>
    <col min="7172" max="7173" width="14.7109375" style="425" customWidth="1"/>
    <col min="7174" max="7425" width="9.140625" style="425"/>
    <col min="7426" max="7426" width="58.28515625" style="425" customWidth="1"/>
    <col min="7427" max="7427" width="5.7109375" style="425" customWidth="1"/>
    <col min="7428" max="7429" width="14.7109375" style="425" customWidth="1"/>
    <col min="7430" max="7681" width="9.140625" style="425"/>
    <col min="7682" max="7682" width="58.28515625" style="425" customWidth="1"/>
    <col min="7683" max="7683" width="5.7109375" style="425" customWidth="1"/>
    <col min="7684" max="7685" width="14.7109375" style="425" customWidth="1"/>
    <col min="7686" max="7937" width="9.140625" style="425"/>
    <col min="7938" max="7938" width="58.28515625" style="425" customWidth="1"/>
    <col min="7939" max="7939" width="5.7109375" style="425" customWidth="1"/>
    <col min="7940" max="7941" width="14.7109375" style="425" customWidth="1"/>
    <col min="7942" max="8193" width="9.140625" style="425"/>
    <col min="8194" max="8194" width="58.28515625" style="425" customWidth="1"/>
    <col min="8195" max="8195" width="5.7109375" style="425" customWidth="1"/>
    <col min="8196" max="8197" width="14.7109375" style="425" customWidth="1"/>
    <col min="8198" max="8449" width="9.140625" style="425"/>
    <col min="8450" max="8450" width="58.28515625" style="425" customWidth="1"/>
    <col min="8451" max="8451" width="5.7109375" style="425" customWidth="1"/>
    <col min="8452" max="8453" width="14.7109375" style="425" customWidth="1"/>
    <col min="8454" max="8705" width="9.140625" style="425"/>
    <col min="8706" max="8706" width="58.28515625" style="425" customWidth="1"/>
    <col min="8707" max="8707" width="5.7109375" style="425" customWidth="1"/>
    <col min="8708" max="8709" width="14.7109375" style="425" customWidth="1"/>
    <col min="8710" max="8961" width="9.140625" style="425"/>
    <col min="8962" max="8962" width="58.28515625" style="425" customWidth="1"/>
    <col min="8963" max="8963" width="5.7109375" style="425" customWidth="1"/>
    <col min="8964" max="8965" width="14.7109375" style="425" customWidth="1"/>
    <col min="8966" max="9217" width="9.140625" style="425"/>
    <col min="9218" max="9218" width="58.28515625" style="425" customWidth="1"/>
    <col min="9219" max="9219" width="5.7109375" style="425" customWidth="1"/>
    <col min="9220" max="9221" width="14.7109375" style="425" customWidth="1"/>
    <col min="9222" max="9473" width="9.140625" style="425"/>
    <col min="9474" max="9474" width="58.28515625" style="425" customWidth="1"/>
    <col min="9475" max="9475" width="5.7109375" style="425" customWidth="1"/>
    <col min="9476" max="9477" width="14.7109375" style="425" customWidth="1"/>
    <col min="9478" max="9729" width="9.140625" style="425"/>
    <col min="9730" max="9730" width="58.28515625" style="425" customWidth="1"/>
    <col min="9731" max="9731" width="5.7109375" style="425" customWidth="1"/>
    <col min="9732" max="9733" width="14.7109375" style="425" customWidth="1"/>
    <col min="9734" max="9985" width="9.140625" style="425"/>
    <col min="9986" max="9986" width="58.28515625" style="425" customWidth="1"/>
    <col min="9987" max="9987" width="5.7109375" style="425" customWidth="1"/>
    <col min="9988" max="9989" width="14.7109375" style="425" customWidth="1"/>
    <col min="9990" max="10241" width="9.140625" style="425"/>
    <col min="10242" max="10242" width="58.28515625" style="425" customWidth="1"/>
    <col min="10243" max="10243" width="5.7109375" style="425" customWidth="1"/>
    <col min="10244" max="10245" width="14.7109375" style="425" customWidth="1"/>
    <col min="10246" max="10497" width="9.140625" style="425"/>
    <col min="10498" max="10498" width="58.28515625" style="425" customWidth="1"/>
    <col min="10499" max="10499" width="5.7109375" style="425" customWidth="1"/>
    <col min="10500" max="10501" width="14.7109375" style="425" customWidth="1"/>
    <col min="10502" max="10753" width="9.140625" style="425"/>
    <col min="10754" max="10754" width="58.28515625" style="425" customWidth="1"/>
    <col min="10755" max="10755" width="5.7109375" style="425" customWidth="1"/>
    <col min="10756" max="10757" width="14.7109375" style="425" customWidth="1"/>
    <col min="10758" max="11009" width="9.140625" style="425"/>
    <col min="11010" max="11010" width="58.28515625" style="425" customWidth="1"/>
    <col min="11011" max="11011" width="5.7109375" style="425" customWidth="1"/>
    <col min="11012" max="11013" width="14.7109375" style="425" customWidth="1"/>
    <col min="11014" max="11265" width="9.140625" style="425"/>
    <col min="11266" max="11266" width="58.28515625" style="425" customWidth="1"/>
    <col min="11267" max="11267" width="5.7109375" style="425" customWidth="1"/>
    <col min="11268" max="11269" width="14.7109375" style="425" customWidth="1"/>
    <col min="11270" max="11521" width="9.140625" style="425"/>
    <col min="11522" max="11522" width="58.28515625" style="425" customWidth="1"/>
    <col min="11523" max="11523" width="5.7109375" style="425" customWidth="1"/>
    <col min="11524" max="11525" width="14.7109375" style="425" customWidth="1"/>
    <col min="11526" max="11777" width="9.140625" style="425"/>
    <col min="11778" max="11778" width="58.28515625" style="425" customWidth="1"/>
    <col min="11779" max="11779" width="5.7109375" style="425" customWidth="1"/>
    <col min="11780" max="11781" width="14.7109375" style="425" customWidth="1"/>
    <col min="11782" max="12033" width="9.140625" style="425"/>
    <col min="12034" max="12034" width="58.28515625" style="425" customWidth="1"/>
    <col min="12035" max="12035" width="5.7109375" style="425" customWidth="1"/>
    <col min="12036" max="12037" width="14.7109375" style="425" customWidth="1"/>
    <col min="12038" max="12289" width="9.140625" style="425"/>
    <col min="12290" max="12290" width="58.28515625" style="425" customWidth="1"/>
    <col min="12291" max="12291" width="5.7109375" style="425" customWidth="1"/>
    <col min="12292" max="12293" width="14.7109375" style="425" customWidth="1"/>
    <col min="12294" max="12545" width="9.140625" style="425"/>
    <col min="12546" max="12546" width="58.28515625" style="425" customWidth="1"/>
    <col min="12547" max="12547" width="5.7109375" style="425" customWidth="1"/>
    <col min="12548" max="12549" width="14.7109375" style="425" customWidth="1"/>
    <col min="12550" max="12801" width="9.140625" style="425"/>
    <col min="12802" max="12802" width="58.28515625" style="425" customWidth="1"/>
    <col min="12803" max="12803" width="5.7109375" style="425" customWidth="1"/>
    <col min="12804" max="12805" width="14.7109375" style="425" customWidth="1"/>
    <col min="12806" max="13057" width="9.140625" style="425"/>
    <col min="13058" max="13058" width="58.28515625" style="425" customWidth="1"/>
    <col min="13059" max="13059" width="5.7109375" style="425" customWidth="1"/>
    <col min="13060" max="13061" width="14.7109375" style="425" customWidth="1"/>
    <col min="13062" max="13313" width="9.140625" style="425"/>
    <col min="13314" max="13314" width="58.28515625" style="425" customWidth="1"/>
    <col min="13315" max="13315" width="5.7109375" style="425" customWidth="1"/>
    <col min="13316" max="13317" width="14.7109375" style="425" customWidth="1"/>
    <col min="13318" max="13569" width="9.140625" style="425"/>
    <col min="13570" max="13570" width="58.28515625" style="425" customWidth="1"/>
    <col min="13571" max="13571" width="5.7109375" style="425" customWidth="1"/>
    <col min="13572" max="13573" width="14.7109375" style="425" customWidth="1"/>
    <col min="13574" max="13825" width="9.140625" style="425"/>
    <col min="13826" max="13826" width="58.28515625" style="425" customWidth="1"/>
    <col min="13827" max="13827" width="5.7109375" style="425" customWidth="1"/>
    <col min="13828" max="13829" width="14.7109375" style="425" customWidth="1"/>
    <col min="13830" max="14081" width="9.140625" style="425"/>
    <col min="14082" max="14082" width="58.28515625" style="425" customWidth="1"/>
    <col min="14083" max="14083" width="5.7109375" style="425" customWidth="1"/>
    <col min="14084" max="14085" width="14.7109375" style="425" customWidth="1"/>
    <col min="14086" max="14337" width="9.140625" style="425"/>
    <col min="14338" max="14338" width="58.28515625" style="425" customWidth="1"/>
    <col min="14339" max="14339" width="5.7109375" style="425" customWidth="1"/>
    <col min="14340" max="14341" width="14.7109375" style="425" customWidth="1"/>
    <col min="14342" max="14593" width="9.140625" style="425"/>
    <col min="14594" max="14594" width="58.28515625" style="425" customWidth="1"/>
    <col min="14595" max="14595" width="5.7109375" style="425" customWidth="1"/>
    <col min="14596" max="14597" width="14.7109375" style="425" customWidth="1"/>
    <col min="14598" max="14849" width="9.140625" style="425"/>
    <col min="14850" max="14850" width="58.28515625" style="425" customWidth="1"/>
    <col min="14851" max="14851" width="5.7109375" style="425" customWidth="1"/>
    <col min="14852" max="14853" width="14.7109375" style="425" customWidth="1"/>
    <col min="14854" max="15105" width="9.140625" style="425"/>
    <col min="15106" max="15106" width="58.28515625" style="425" customWidth="1"/>
    <col min="15107" max="15107" width="5.7109375" style="425" customWidth="1"/>
    <col min="15108" max="15109" width="14.7109375" style="425" customWidth="1"/>
    <col min="15110" max="15361" width="9.140625" style="425"/>
    <col min="15362" max="15362" width="58.28515625" style="425" customWidth="1"/>
    <col min="15363" max="15363" width="5.7109375" style="425" customWidth="1"/>
    <col min="15364" max="15365" width="14.7109375" style="425" customWidth="1"/>
    <col min="15366" max="15617" width="9.140625" style="425"/>
    <col min="15618" max="15618" width="58.28515625" style="425" customWidth="1"/>
    <col min="15619" max="15619" width="5.7109375" style="425" customWidth="1"/>
    <col min="15620" max="15621" width="14.7109375" style="425" customWidth="1"/>
    <col min="15622" max="15873" width="9.140625" style="425"/>
    <col min="15874" max="15874" width="58.28515625" style="425" customWidth="1"/>
    <col min="15875" max="15875" width="5.7109375" style="425" customWidth="1"/>
    <col min="15876" max="15877" width="14.7109375" style="425" customWidth="1"/>
    <col min="15878" max="16129" width="9.140625" style="425"/>
    <col min="16130" max="16130" width="58.28515625" style="425" customWidth="1"/>
    <col min="16131" max="16131" width="5.7109375" style="425" customWidth="1"/>
    <col min="16132" max="16133" width="14.7109375" style="425" customWidth="1"/>
    <col min="16134" max="16384" width="9.140625" style="425"/>
  </cols>
  <sheetData>
    <row r="1" spans="1:7" ht="33" hidden="1" customHeight="1"/>
    <row r="2" spans="1:7" s="427" customFormat="1" ht="27.75" customHeight="1">
      <c r="A2" s="947" t="s">
        <v>208</v>
      </c>
      <c r="B2" s="947"/>
      <c r="C2" s="947"/>
      <c r="D2" s="947"/>
      <c r="E2" s="426"/>
    </row>
    <row r="3" spans="1:7" s="427" customFormat="1" ht="12.75" customHeight="1">
      <c r="A3" s="947" t="str">
        <f>"за " &amp; IF(MONTH('Общие сведения'!D2)=3, "январь - март " &amp; YEAR('Общие сведения'!D2) &amp; " года", IF(MONTH('Общие сведения'!D2)=6, "январь - июнь " &amp; YEAR('Общие сведения'!D2) &amp; " года", IF(MONTH('Общие сведения'!D2)=9, "январь - сентябрь " &amp; YEAR('Общие сведения'!D2) &amp; " года", YEAR('Общие сведения'!D2) &amp; " год")))</f>
        <v>за январь - март 2026 года</v>
      </c>
      <c r="B3" s="947"/>
      <c r="C3" s="947"/>
      <c r="D3" s="947"/>
      <c r="E3" s="426"/>
    </row>
    <row r="4" spans="1:7" s="115" customFormat="1" ht="4.5" customHeight="1">
      <c r="B4" s="948"/>
      <c r="C4" s="948"/>
      <c r="D4" s="948"/>
    </row>
    <row r="5" spans="1:7" s="115" customFormat="1" ht="5.25" customHeight="1">
      <c r="B5" s="333"/>
      <c r="C5" s="333"/>
      <c r="D5" s="333"/>
    </row>
    <row r="6" spans="1:7" s="115" customFormat="1" ht="15.75" customHeight="1">
      <c r="B6" s="116"/>
      <c r="C6" s="117"/>
      <c r="E6" s="118" t="s">
        <v>12</v>
      </c>
    </row>
    <row r="7" spans="1:7" s="121" customFormat="1" ht="16.5" customHeight="1">
      <c r="B7" s="119"/>
      <c r="C7" s="944" t="s">
        <v>975</v>
      </c>
      <c r="D7" s="945"/>
      <c r="E7" s="120" t="s">
        <v>209</v>
      </c>
      <c r="G7" s="93" t="s">
        <v>210</v>
      </c>
    </row>
    <row r="8" spans="1:7" s="121" customFormat="1" ht="18" customHeight="1">
      <c r="B8" s="944" t="s">
        <v>908</v>
      </c>
      <c r="C8" s="944"/>
      <c r="D8" s="945"/>
      <c r="E8" s="475" t="str">
        <f>" " &amp; 'Общие сведения'!D16</f>
        <v xml:space="preserve"> 31 / 03 / 2026</v>
      </c>
    </row>
    <row r="9" spans="1:7" s="121" customFormat="1" ht="16.5" customHeight="1">
      <c r="A9" s="946" t="str">
        <f>" Организация " &amp; 'Общие сведения'!D18</f>
        <v xml:space="preserve"> Организация </v>
      </c>
      <c r="B9" s="946"/>
      <c r="C9" s="946"/>
      <c r="D9" s="334" t="s">
        <v>202</v>
      </c>
      <c r="E9" s="94" t="str">
        <f>" " &amp; 'Общие сведения'!$D19</f>
        <v xml:space="preserve"> </v>
      </c>
    </row>
    <row r="10" spans="1:7" s="417" customFormat="1" ht="16.5" hidden="1" customHeight="1">
      <c r="B10" s="414"/>
      <c r="C10" s="415"/>
      <c r="D10" s="416"/>
      <c r="E10" s="378"/>
    </row>
    <row r="11" spans="1:7" s="417" customFormat="1" ht="23.25" hidden="1" customHeight="1">
      <c r="B11" s="414"/>
      <c r="C11" s="414"/>
      <c r="D11" s="416"/>
      <c r="E11" s="378"/>
    </row>
    <row r="12" spans="1:7" s="417" customFormat="1" ht="15" hidden="1" customHeight="1">
      <c r="B12" s="414"/>
      <c r="C12" s="414"/>
      <c r="D12" s="416"/>
      <c r="E12" s="383"/>
    </row>
    <row r="13" spans="1:7" s="121" customFormat="1" ht="16.5" customHeight="1">
      <c r="A13" s="946" t="s">
        <v>145</v>
      </c>
      <c r="B13" s="946"/>
      <c r="C13" s="122"/>
      <c r="D13" s="334" t="s">
        <v>203</v>
      </c>
      <c r="E13" s="97" t="str">
        <f>" " &amp; 'Общие сведения'!D15</f>
        <v xml:space="preserve"> 384</v>
      </c>
    </row>
    <row r="14" spans="1:7" s="115" customFormat="1" ht="33.75" customHeight="1">
      <c r="B14" s="116"/>
      <c r="C14" s="117"/>
      <c r="D14" s="334"/>
      <c r="E14" s="123"/>
    </row>
    <row r="15" spans="1:7" s="127" customFormat="1" ht="33.75" customHeight="1">
      <c r="A15" s="806" t="s">
        <v>16</v>
      </c>
      <c r="B15" s="807" t="s">
        <v>0</v>
      </c>
      <c r="C15" s="124" t="s">
        <v>871</v>
      </c>
      <c r="D15" s="125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E15" s="126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</row>
    <row r="16" spans="1:7" s="417" customFormat="1" ht="13.5" hidden="1" customHeight="1">
      <c r="B16" s="695" t="s">
        <v>1121</v>
      </c>
      <c r="C16" s="364"/>
      <c r="D16" s="694" t="s">
        <v>1122</v>
      </c>
      <c r="E16" s="694" t="s">
        <v>1123</v>
      </c>
    </row>
    <row r="17" spans="1:7" s="429" customFormat="1" ht="25.5" customHeight="1">
      <c r="A17" s="428"/>
      <c r="B17" s="949" t="s">
        <v>211</v>
      </c>
      <c r="C17" s="949"/>
      <c r="D17" s="949"/>
      <c r="E17" s="950"/>
    </row>
    <row r="18" spans="1:7" s="429" customFormat="1" ht="25.5" customHeight="1">
      <c r="A18" s="422"/>
      <c r="B18" s="418" t="s">
        <v>959</v>
      </c>
      <c r="C18" s="128" t="s">
        <v>962</v>
      </c>
      <c r="D18" s="129"/>
      <c r="E18" s="130"/>
    </row>
    <row r="19" spans="1:7" s="429" customFormat="1" ht="22.5" customHeight="1">
      <c r="A19" s="422"/>
      <c r="B19" s="419" t="s">
        <v>960</v>
      </c>
      <c r="C19" s="128" t="s">
        <v>212</v>
      </c>
      <c r="D19" s="129"/>
      <c r="E19" s="130"/>
    </row>
    <row r="20" spans="1:7" s="429" customFormat="1" ht="22.5" customHeight="1">
      <c r="A20" s="422"/>
      <c r="B20" s="419" t="s">
        <v>961</v>
      </c>
      <c r="C20" s="128" t="s">
        <v>213</v>
      </c>
      <c r="D20" s="129"/>
      <c r="E20" s="130"/>
    </row>
    <row r="21" spans="1:7" s="429" customFormat="1" ht="22.5" customHeight="1">
      <c r="A21" s="430"/>
      <c r="B21" s="419" t="s">
        <v>214</v>
      </c>
      <c r="C21" s="128" t="s">
        <v>215</v>
      </c>
      <c r="D21" s="129"/>
      <c r="E21" s="130"/>
    </row>
    <row r="22" spans="1:7" s="429" customFormat="1" ht="22.5" customHeight="1">
      <c r="A22" s="430"/>
      <c r="B22" s="419" t="s">
        <v>971</v>
      </c>
      <c r="C22" s="128" t="s">
        <v>963</v>
      </c>
      <c r="D22" s="129"/>
      <c r="E22" s="130"/>
    </row>
    <row r="23" spans="1:7" s="429" customFormat="1" ht="17.100000000000001" customHeight="1">
      <c r="A23" s="430"/>
      <c r="B23" s="419" t="s">
        <v>216</v>
      </c>
      <c r="C23" s="128" t="s">
        <v>217</v>
      </c>
      <c r="D23" s="129"/>
      <c r="E23" s="130"/>
    </row>
    <row r="24" spans="1:7" s="429" customFormat="1" ht="17.100000000000001" hidden="1" customHeight="1">
      <c r="A24" s="430"/>
      <c r="B24" s="420"/>
      <c r="C24" s="128"/>
      <c r="D24" s="129"/>
      <c r="E24" s="130"/>
    </row>
    <row r="25" spans="1:7" s="429" customFormat="1" ht="17.100000000000001" hidden="1" customHeight="1">
      <c r="A25" s="430"/>
      <c r="B25" s="420"/>
      <c r="C25" s="128"/>
      <c r="D25" s="129"/>
      <c r="E25" s="130"/>
    </row>
    <row r="26" spans="1:7" s="429" customFormat="1" ht="17.100000000000001" hidden="1" customHeight="1">
      <c r="A26" s="430"/>
      <c r="B26" s="420"/>
      <c r="C26" s="128"/>
      <c r="D26" s="129"/>
      <c r="E26" s="130"/>
    </row>
    <row r="27" spans="1:7" s="429" customFormat="1" ht="24" customHeight="1">
      <c r="A27" s="430"/>
      <c r="B27" s="418" t="s">
        <v>964</v>
      </c>
      <c r="C27" s="128" t="s">
        <v>218</v>
      </c>
      <c r="D27" s="129"/>
      <c r="E27" s="132"/>
    </row>
    <row r="28" spans="1:7" s="429" customFormat="1" ht="22.5" customHeight="1">
      <c r="A28" s="430"/>
      <c r="B28" s="419" t="s">
        <v>972</v>
      </c>
      <c r="C28" s="128" t="s">
        <v>219</v>
      </c>
      <c r="D28" s="129"/>
      <c r="E28" s="133"/>
    </row>
    <row r="29" spans="1:7" s="429" customFormat="1" ht="22.5" customHeight="1">
      <c r="A29" s="430"/>
      <c r="B29" s="419" t="s">
        <v>220</v>
      </c>
      <c r="C29" s="128" t="s">
        <v>221</v>
      </c>
      <c r="D29" s="129"/>
      <c r="E29" s="133"/>
    </row>
    <row r="30" spans="1:7" ht="22.5" customHeight="1">
      <c r="A30" s="431"/>
      <c r="B30" s="419" t="s">
        <v>222</v>
      </c>
      <c r="C30" s="128" t="s">
        <v>223</v>
      </c>
      <c r="D30" s="129"/>
      <c r="E30" s="133"/>
      <c r="G30" s="429"/>
    </row>
    <row r="31" spans="1:7" ht="22.5" customHeight="1">
      <c r="A31" s="431"/>
      <c r="B31" s="419" t="s">
        <v>224</v>
      </c>
      <c r="C31" s="128" t="s">
        <v>225</v>
      </c>
      <c r="D31" s="129"/>
      <c r="E31" s="133"/>
    </row>
    <row r="32" spans="1:7" ht="22.5" customHeight="1">
      <c r="A32" s="431"/>
      <c r="B32" s="419" t="s">
        <v>226</v>
      </c>
      <c r="C32" s="128" t="s">
        <v>227</v>
      </c>
      <c r="D32" s="129"/>
      <c r="E32" s="133"/>
    </row>
    <row r="33" spans="1:5" ht="17.100000000000001" hidden="1" customHeight="1">
      <c r="A33" s="431"/>
      <c r="B33" s="420"/>
      <c r="C33" s="128"/>
      <c r="D33" s="129"/>
      <c r="E33" s="133"/>
    </row>
    <row r="34" spans="1:5" ht="17.100000000000001" hidden="1" customHeight="1">
      <c r="A34" s="431"/>
      <c r="B34" s="420"/>
      <c r="C34" s="128"/>
      <c r="D34" s="129"/>
      <c r="E34" s="133"/>
    </row>
    <row r="35" spans="1:5" ht="17.100000000000001" hidden="1" customHeight="1">
      <c r="A35" s="431"/>
      <c r="B35" s="420"/>
      <c r="C35" s="128"/>
      <c r="D35" s="129"/>
      <c r="E35" s="133"/>
    </row>
    <row r="36" spans="1:5" ht="26.25" customHeight="1">
      <c r="A36" s="432"/>
      <c r="B36" s="421" t="s">
        <v>228</v>
      </c>
      <c r="C36" s="134" t="s">
        <v>229</v>
      </c>
      <c r="D36" s="135"/>
      <c r="E36" s="136"/>
    </row>
    <row r="37" spans="1:5" ht="39" customHeight="1">
      <c r="B37" s="951"/>
      <c r="C37" s="951"/>
      <c r="D37" s="951" t="s">
        <v>230</v>
      </c>
      <c r="E37" s="951"/>
    </row>
    <row r="38" spans="1:5" s="127" customFormat="1" ht="33.75" customHeight="1">
      <c r="A38" s="806" t="s">
        <v>16</v>
      </c>
      <c r="B38" s="807" t="s">
        <v>0</v>
      </c>
      <c r="C38" s="124" t="s">
        <v>871</v>
      </c>
      <c r="D38" s="125" t="str">
        <f>D15</f>
        <v>За январь-март 2026 г.</v>
      </c>
      <c r="E38" s="126" t="str">
        <f>E15</f>
        <v>За январь-март 2025 г.</v>
      </c>
    </row>
    <row r="39" spans="1:5" ht="25.5" customHeight="1">
      <c r="A39" s="428"/>
      <c r="B39" s="949" t="s">
        <v>231</v>
      </c>
      <c r="C39" s="949"/>
      <c r="D39" s="949"/>
      <c r="E39" s="950"/>
    </row>
    <row r="40" spans="1:5" ht="21">
      <c r="A40" s="422"/>
      <c r="B40" s="418" t="s">
        <v>959</v>
      </c>
      <c r="C40" s="128" t="s">
        <v>232</v>
      </c>
      <c r="D40" s="129"/>
      <c r="E40" s="130"/>
    </row>
    <row r="41" spans="1:5" ht="21.75" customHeight="1">
      <c r="A41" s="431"/>
      <c r="B41" s="419" t="s">
        <v>233</v>
      </c>
      <c r="C41" s="128" t="s">
        <v>234</v>
      </c>
      <c r="D41" s="129"/>
      <c r="E41" s="130"/>
    </row>
    <row r="42" spans="1:5" ht="21.75" customHeight="1">
      <c r="A42" s="431"/>
      <c r="B42" s="419" t="s">
        <v>235</v>
      </c>
      <c r="C42" s="128" t="s">
        <v>236</v>
      </c>
      <c r="D42" s="129"/>
      <c r="E42" s="130"/>
    </row>
    <row r="43" spans="1:5" ht="25.5" customHeight="1">
      <c r="A43" s="431"/>
      <c r="B43" s="419" t="s">
        <v>237</v>
      </c>
      <c r="C43" s="128" t="s">
        <v>238</v>
      </c>
      <c r="D43" s="129"/>
      <c r="E43" s="130"/>
    </row>
    <row r="44" spans="1:5" ht="24.75" customHeight="1">
      <c r="A44" s="431"/>
      <c r="B44" s="419" t="s">
        <v>239</v>
      </c>
      <c r="C44" s="128" t="s">
        <v>240</v>
      </c>
      <c r="D44" s="129"/>
      <c r="E44" s="130"/>
    </row>
    <row r="45" spans="1:5" ht="18.75" hidden="1" customHeight="1">
      <c r="A45" s="431"/>
      <c r="B45" s="419"/>
      <c r="C45" s="128"/>
      <c r="D45" s="129"/>
      <c r="E45" s="130"/>
    </row>
    <row r="46" spans="1:5" ht="17.100000000000001" customHeight="1">
      <c r="A46" s="431"/>
      <c r="B46" s="419" t="s">
        <v>216</v>
      </c>
      <c r="C46" s="128" t="s">
        <v>241</v>
      </c>
      <c r="D46" s="129"/>
      <c r="E46" s="130"/>
    </row>
    <row r="47" spans="1:5" ht="17.100000000000001" hidden="1" customHeight="1">
      <c r="A47" s="431"/>
      <c r="B47" s="420"/>
      <c r="C47" s="128"/>
      <c r="D47" s="129"/>
      <c r="E47" s="130"/>
    </row>
    <row r="48" spans="1:5" ht="20.100000000000001" hidden="1" customHeight="1">
      <c r="A48" s="431"/>
      <c r="B48" s="420"/>
      <c r="C48" s="128"/>
      <c r="D48" s="129"/>
      <c r="E48" s="130"/>
    </row>
    <row r="49" spans="1:5" ht="17.100000000000001" hidden="1" customHeight="1">
      <c r="A49" s="431"/>
      <c r="B49" s="420"/>
      <c r="C49" s="128"/>
      <c r="D49" s="129"/>
      <c r="E49" s="130"/>
    </row>
    <row r="50" spans="1:5" ht="17.100000000000001" hidden="1" customHeight="1">
      <c r="A50" s="431"/>
      <c r="B50" s="420"/>
      <c r="C50" s="128"/>
      <c r="D50" s="129"/>
      <c r="E50" s="130"/>
    </row>
    <row r="51" spans="1:5" ht="21">
      <c r="A51" s="431"/>
      <c r="B51" s="418" t="s">
        <v>964</v>
      </c>
      <c r="C51" s="128" t="s">
        <v>242</v>
      </c>
      <c r="D51" s="129"/>
      <c r="E51" s="130"/>
    </row>
    <row r="52" spans="1:5" ht="26.25" customHeight="1">
      <c r="A52" s="431"/>
      <c r="B52" s="419" t="s">
        <v>243</v>
      </c>
      <c r="C52" s="128" t="s">
        <v>244</v>
      </c>
      <c r="D52" s="129"/>
      <c r="E52" s="130"/>
    </row>
    <row r="53" spans="1:5" ht="24" customHeight="1">
      <c r="A53" s="431"/>
      <c r="B53" s="419" t="s">
        <v>245</v>
      </c>
      <c r="C53" s="128" t="s">
        <v>246</v>
      </c>
      <c r="D53" s="129"/>
      <c r="E53" s="130"/>
    </row>
    <row r="54" spans="1:5" ht="33.75" customHeight="1">
      <c r="A54" s="431"/>
      <c r="B54" s="419" t="s">
        <v>247</v>
      </c>
      <c r="C54" s="128" t="s">
        <v>248</v>
      </c>
      <c r="D54" s="129"/>
      <c r="E54" s="130"/>
    </row>
    <row r="55" spans="1:5" ht="24" customHeight="1">
      <c r="A55" s="431"/>
      <c r="B55" s="419" t="s">
        <v>249</v>
      </c>
      <c r="C55" s="128" t="s">
        <v>250</v>
      </c>
      <c r="D55" s="129"/>
      <c r="E55" s="130"/>
    </row>
    <row r="56" spans="1:5" ht="19.5" hidden="1" customHeight="1">
      <c r="A56" s="431"/>
      <c r="B56" s="419"/>
      <c r="C56" s="128"/>
      <c r="D56" s="129"/>
      <c r="E56" s="130"/>
    </row>
    <row r="57" spans="1:5" ht="17.100000000000001" customHeight="1">
      <c r="A57" s="431"/>
      <c r="B57" s="419" t="s">
        <v>226</v>
      </c>
      <c r="C57" s="128" t="s">
        <v>251</v>
      </c>
      <c r="D57" s="129"/>
      <c r="E57" s="130"/>
    </row>
    <row r="58" spans="1:5" ht="17.100000000000001" hidden="1" customHeight="1">
      <c r="A58" s="431"/>
      <c r="B58" s="420"/>
      <c r="C58" s="128"/>
      <c r="D58" s="129"/>
      <c r="E58" s="130"/>
    </row>
    <row r="59" spans="1:5" ht="17.100000000000001" hidden="1" customHeight="1">
      <c r="A59" s="431"/>
      <c r="B59" s="420"/>
      <c r="C59" s="128"/>
      <c r="D59" s="129"/>
      <c r="E59" s="130"/>
    </row>
    <row r="60" spans="1:5" ht="17.100000000000001" hidden="1" customHeight="1">
      <c r="A60" s="431"/>
      <c r="B60" s="420"/>
      <c r="C60" s="128"/>
      <c r="D60" s="129"/>
      <c r="E60" s="130"/>
    </row>
    <row r="61" spans="1:5" ht="20.100000000000001" customHeight="1">
      <c r="A61" s="432"/>
      <c r="B61" s="418" t="s">
        <v>252</v>
      </c>
      <c r="C61" s="128" t="s">
        <v>253</v>
      </c>
      <c r="D61" s="129"/>
      <c r="E61" s="130"/>
    </row>
    <row r="62" spans="1:5" ht="25.5" customHeight="1">
      <c r="A62" s="433"/>
      <c r="B62" s="949" t="s">
        <v>254</v>
      </c>
      <c r="C62" s="949"/>
      <c r="D62" s="949"/>
      <c r="E62" s="950"/>
    </row>
    <row r="63" spans="1:5" ht="21">
      <c r="A63" s="431"/>
      <c r="B63" s="418" t="s">
        <v>959</v>
      </c>
      <c r="C63" s="128" t="s">
        <v>255</v>
      </c>
      <c r="D63" s="129"/>
      <c r="E63" s="130"/>
    </row>
    <row r="64" spans="1:5" ht="21.75" customHeight="1">
      <c r="A64" s="431"/>
      <c r="B64" s="419" t="s">
        <v>256</v>
      </c>
      <c r="C64" s="128" t="s">
        <v>257</v>
      </c>
      <c r="D64" s="129"/>
      <c r="E64" s="130"/>
    </row>
    <row r="65" spans="1:5" ht="21.75" customHeight="1">
      <c r="A65" s="431"/>
      <c r="B65" s="419" t="s">
        <v>258</v>
      </c>
      <c r="C65" s="128" t="s">
        <v>259</v>
      </c>
      <c r="D65" s="129"/>
      <c r="E65" s="130"/>
    </row>
    <row r="66" spans="1:5" ht="21.75" customHeight="1">
      <c r="A66" s="431"/>
      <c r="B66" s="419" t="s">
        <v>260</v>
      </c>
      <c r="C66" s="128" t="s">
        <v>261</v>
      </c>
      <c r="D66" s="129"/>
      <c r="E66" s="130"/>
    </row>
    <row r="67" spans="1:5" ht="21.75" customHeight="1">
      <c r="A67" s="431"/>
      <c r="B67" s="419" t="s">
        <v>965</v>
      </c>
      <c r="C67" s="128" t="s">
        <v>262</v>
      </c>
      <c r="D67" s="129"/>
      <c r="E67" s="130"/>
    </row>
    <row r="68" spans="1:5" ht="21.75" customHeight="1">
      <c r="A68" s="431"/>
      <c r="B68" s="419" t="s">
        <v>784</v>
      </c>
      <c r="C68" s="128" t="s">
        <v>785</v>
      </c>
      <c r="D68" s="129"/>
      <c r="E68" s="130"/>
    </row>
    <row r="69" spans="1:5" ht="21.75" customHeight="1">
      <c r="A69" s="432"/>
      <c r="B69" s="423" t="s">
        <v>216</v>
      </c>
      <c r="C69" s="134" t="s">
        <v>263</v>
      </c>
      <c r="D69" s="135"/>
      <c r="E69" s="136"/>
    </row>
    <row r="70" spans="1:5" ht="17.100000000000001" hidden="1" customHeight="1">
      <c r="B70" s="131"/>
      <c r="C70" s="128"/>
      <c r="D70" s="137"/>
      <c r="E70" s="138"/>
    </row>
    <row r="71" spans="1:5" ht="17.100000000000001" hidden="1" customHeight="1">
      <c r="B71" s="131"/>
      <c r="C71" s="128"/>
      <c r="D71" s="137"/>
      <c r="E71" s="138"/>
    </row>
    <row r="72" spans="1:5" ht="17.100000000000001" hidden="1" customHeight="1">
      <c r="B72" s="131"/>
      <c r="C72" s="128"/>
      <c r="D72" s="137"/>
      <c r="E72" s="138"/>
    </row>
    <row r="73" spans="1:5" ht="17.100000000000001" hidden="1" customHeight="1">
      <c r="B73" s="131"/>
      <c r="C73" s="128"/>
      <c r="D73" s="137"/>
      <c r="E73" s="138"/>
    </row>
    <row r="74" spans="1:5" ht="17.100000000000001" hidden="1" customHeight="1">
      <c r="B74" s="131"/>
      <c r="C74" s="128"/>
      <c r="D74" s="137"/>
      <c r="E74" s="138"/>
    </row>
    <row r="75" spans="1:5" ht="17.100000000000001" hidden="1" customHeight="1">
      <c r="B75" s="131"/>
      <c r="C75" s="128"/>
      <c r="D75" s="137"/>
      <c r="E75" s="138"/>
    </row>
    <row r="76" spans="1:5" ht="17.100000000000001" hidden="1" customHeight="1">
      <c r="B76" s="131"/>
      <c r="C76" s="128"/>
      <c r="D76" s="137"/>
      <c r="E76" s="138"/>
    </row>
    <row r="77" spans="1:5" ht="17.100000000000001" hidden="1" customHeight="1">
      <c r="B77" s="131"/>
      <c r="C77" s="128"/>
      <c r="D77" s="137"/>
      <c r="E77" s="138"/>
    </row>
    <row r="78" spans="1:5" ht="45.75" customHeight="1">
      <c r="B78" s="951"/>
      <c r="C78" s="951"/>
      <c r="D78" s="951" t="s">
        <v>264</v>
      </c>
      <c r="E78" s="951"/>
    </row>
    <row r="79" spans="1:5" s="127" customFormat="1" ht="33.75" customHeight="1">
      <c r="A79" s="806" t="s">
        <v>16</v>
      </c>
      <c r="B79" s="807" t="s">
        <v>0</v>
      </c>
      <c r="C79" s="124" t="s">
        <v>871</v>
      </c>
      <c r="D79" s="125" t="str">
        <f>D38</f>
        <v>За январь-март 2026 г.</v>
      </c>
      <c r="E79" s="126" t="str">
        <f>E38</f>
        <v>За январь-март 2025 г.</v>
      </c>
    </row>
    <row r="80" spans="1:5" ht="22.5" customHeight="1">
      <c r="A80" s="428"/>
      <c r="B80" s="418" t="s">
        <v>964</v>
      </c>
      <c r="C80" s="128" t="s">
        <v>265</v>
      </c>
      <c r="D80" s="129"/>
      <c r="E80" s="130"/>
    </row>
    <row r="81" spans="1:7" ht="30" customHeight="1">
      <c r="A81" s="422"/>
      <c r="B81" s="419" t="s">
        <v>266</v>
      </c>
      <c r="C81" s="128" t="s">
        <v>267</v>
      </c>
      <c r="D81" s="129"/>
      <c r="E81" s="130"/>
    </row>
    <row r="82" spans="1:7" ht="27.75" customHeight="1">
      <c r="A82" s="434"/>
      <c r="B82" s="419" t="s">
        <v>268</v>
      </c>
      <c r="C82" s="128" t="s">
        <v>973</v>
      </c>
      <c r="D82" s="129"/>
      <c r="E82" s="130"/>
      <c r="G82" s="429"/>
    </row>
    <row r="83" spans="1:7" ht="27.75" customHeight="1">
      <c r="A83" s="434"/>
      <c r="B83" s="419" t="s">
        <v>269</v>
      </c>
      <c r="C83" s="128" t="s">
        <v>270</v>
      </c>
      <c r="D83" s="129"/>
      <c r="E83" s="130"/>
    </row>
    <row r="84" spans="1:7" ht="23.25" customHeight="1">
      <c r="A84" s="434"/>
      <c r="B84" s="419" t="s">
        <v>966</v>
      </c>
      <c r="C84" s="128" t="s">
        <v>786</v>
      </c>
      <c r="D84" s="129"/>
      <c r="E84" s="130"/>
    </row>
    <row r="85" spans="1:7" ht="23.25" hidden="1" customHeight="1">
      <c r="A85" s="434"/>
      <c r="B85" s="419"/>
      <c r="C85" s="128"/>
      <c r="D85" s="129"/>
      <c r="E85" s="130"/>
    </row>
    <row r="86" spans="1:7" ht="23.25" customHeight="1">
      <c r="A86" s="434"/>
      <c r="B86" s="419" t="s">
        <v>226</v>
      </c>
      <c r="C86" s="128" t="s">
        <v>271</v>
      </c>
      <c r="D86" s="129"/>
      <c r="E86" s="130"/>
    </row>
    <row r="87" spans="1:7" ht="27" customHeight="1">
      <c r="A87" s="434"/>
      <c r="B87" s="418" t="s">
        <v>272</v>
      </c>
      <c r="C87" s="128" t="s">
        <v>273</v>
      </c>
      <c r="D87" s="129"/>
      <c r="E87" s="130"/>
    </row>
    <row r="88" spans="1:7" ht="24" customHeight="1">
      <c r="A88" s="434"/>
      <c r="B88" s="418" t="s">
        <v>967</v>
      </c>
      <c r="C88" s="128" t="s">
        <v>974</v>
      </c>
      <c r="D88" s="129"/>
      <c r="E88" s="130"/>
      <c r="G88" s="429"/>
    </row>
    <row r="89" spans="1:7" ht="27" customHeight="1">
      <c r="A89" s="434"/>
      <c r="B89" s="418" t="s">
        <v>968</v>
      </c>
      <c r="C89" s="128" t="s">
        <v>274</v>
      </c>
      <c r="D89" s="129"/>
      <c r="E89" s="130"/>
    </row>
    <row r="90" spans="1:7" ht="27" customHeight="1">
      <c r="A90" s="434"/>
      <c r="B90" s="418" t="s">
        <v>969</v>
      </c>
      <c r="C90" s="128" t="s">
        <v>275</v>
      </c>
      <c r="D90" s="129"/>
      <c r="E90" s="130"/>
    </row>
    <row r="91" spans="1:7" ht="27" customHeight="1">
      <c r="A91" s="435"/>
      <c r="B91" s="424" t="s">
        <v>970</v>
      </c>
      <c r="C91" s="139" t="s">
        <v>276</v>
      </c>
      <c r="D91" s="140"/>
      <c r="E91" s="141"/>
    </row>
    <row r="92" spans="1:7">
      <c r="B92" s="436"/>
      <c r="C92" s="437"/>
    </row>
    <row r="93" spans="1:7" s="394" customFormat="1">
      <c r="A93" s="390"/>
      <c r="B93" s="384" t="str">
        <f>'Общие сведения'!B34</f>
        <v>Наим. должности (Генеральный директор, Руководитель, ... )</v>
      </c>
      <c r="C93" s="392"/>
      <c r="D93" s="386"/>
      <c r="E93" s="386"/>
      <c r="F93" s="386"/>
      <c r="G93" s="438"/>
    </row>
    <row r="94" spans="1:7" s="394" customFormat="1">
      <c r="A94" s="390"/>
      <c r="B94" s="411" t="s">
        <v>956</v>
      </c>
      <c r="C94" s="392"/>
      <c r="D94" s="386"/>
      <c r="E94" s="386"/>
      <c r="F94" s="386"/>
      <c r="G94" s="438"/>
    </row>
    <row r="95" spans="1:7" s="394" customFormat="1">
      <c r="A95" s="390"/>
      <c r="B95" s="413"/>
      <c r="C95" s="392"/>
      <c r="D95" s="386"/>
      <c r="E95" s="386"/>
      <c r="F95" s="386"/>
      <c r="G95" s="438"/>
    </row>
    <row r="96" spans="1:7" s="400" customFormat="1" ht="11.25" customHeight="1">
      <c r="A96" s="395"/>
      <c r="B96" s="396"/>
      <c r="C96" s="397"/>
      <c r="D96" s="398"/>
      <c r="E96" s="398"/>
      <c r="G96" s="439"/>
    </row>
    <row r="97" spans="1:7" s="400" customFormat="1" ht="11.25" customHeight="1">
      <c r="A97" s="395"/>
      <c r="B97" s="391"/>
      <c r="C97" s="397"/>
      <c r="D97" s="900">
        <f>'Общие сведения'!D34</f>
        <v>0</v>
      </c>
      <c r="E97" s="900"/>
      <c r="G97" s="439"/>
    </row>
    <row r="98" spans="1:7" s="400" customFormat="1" ht="11.25" customHeight="1">
      <c r="A98" s="395"/>
      <c r="B98" s="412" t="s">
        <v>957</v>
      </c>
      <c r="C98" s="397"/>
      <c r="D98" s="899" t="s">
        <v>958</v>
      </c>
      <c r="E98" s="899"/>
      <c r="G98" s="439"/>
    </row>
    <row r="99" spans="1:7" s="400" customFormat="1" ht="11.25" customHeight="1">
      <c r="A99" s="395"/>
      <c r="B99" s="396"/>
      <c r="C99" s="397"/>
      <c r="D99" s="398"/>
      <c r="E99" s="398"/>
      <c r="G99" s="439"/>
    </row>
    <row r="100" spans="1:7" s="406" customFormat="1" ht="15" customHeight="1">
      <c r="A100" s="401"/>
      <c r="B100" s="402" t="s">
        <v>1140</v>
      </c>
      <c r="C100" s="403"/>
      <c r="D100" s="401"/>
      <c r="E100" s="404"/>
      <c r="F100" s="400"/>
    </row>
    <row r="101" spans="1:7">
      <c r="B101" s="440"/>
      <c r="C101" s="437"/>
    </row>
    <row r="102" spans="1:7">
      <c r="B102" s="440"/>
      <c r="C102" s="437"/>
    </row>
    <row r="103" spans="1:7">
      <c r="B103" s="440"/>
      <c r="C103" s="437"/>
    </row>
    <row r="104" spans="1:7">
      <c r="B104" s="440"/>
      <c r="C104" s="437"/>
    </row>
    <row r="105" spans="1:7">
      <c r="B105" s="440"/>
      <c r="C105" s="437"/>
    </row>
    <row r="106" spans="1:7">
      <c r="B106" s="440"/>
      <c r="C106" s="437"/>
    </row>
    <row r="107" spans="1:7">
      <c r="B107" s="440"/>
      <c r="C107" s="437"/>
    </row>
    <row r="108" spans="1:7">
      <c r="B108" s="440"/>
      <c r="C108" s="437"/>
    </row>
    <row r="109" spans="1:7">
      <c r="B109" s="440"/>
      <c r="C109" s="437"/>
    </row>
    <row r="110" spans="1:7">
      <c r="B110" s="440"/>
      <c r="C110" s="437"/>
    </row>
    <row r="111" spans="1:7">
      <c r="B111" s="440"/>
      <c r="C111" s="437"/>
    </row>
    <row r="112" spans="1:7">
      <c r="B112" s="440"/>
      <c r="C112" s="437"/>
    </row>
    <row r="113" spans="2:3">
      <c r="B113" s="440"/>
      <c r="C113" s="437"/>
    </row>
    <row r="114" spans="2:3">
      <c r="B114" s="440"/>
      <c r="C114" s="437"/>
    </row>
    <row r="115" spans="2:3">
      <c r="B115" s="440"/>
      <c r="C115" s="437"/>
    </row>
    <row r="116" spans="2:3">
      <c r="B116" s="440"/>
      <c r="C116" s="437"/>
    </row>
    <row r="117" spans="2:3">
      <c r="B117" s="440"/>
      <c r="C117" s="437"/>
    </row>
    <row r="118" spans="2:3">
      <c r="B118" s="440"/>
      <c r="C118" s="437"/>
    </row>
    <row r="119" spans="2:3">
      <c r="B119" s="440"/>
      <c r="C119" s="437"/>
    </row>
    <row r="120" spans="2:3">
      <c r="B120" s="440"/>
      <c r="C120" s="437"/>
    </row>
    <row r="121" spans="2:3">
      <c r="B121" s="440"/>
      <c r="C121" s="437"/>
    </row>
    <row r="122" spans="2:3">
      <c r="B122" s="440"/>
      <c r="C122" s="437"/>
    </row>
    <row r="123" spans="2:3">
      <c r="B123" s="440"/>
      <c r="C123" s="437"/>
    </row>
    <row r="124" spans="2:3">
      <c r="B124" s="440"/>
      <c r="C124" s="437"/>
    </row>
    <row r="125" spans="2:3">
      <c r="B125" s="440"/>
      <c r="C125" s="437"/>
    </row>
    <row r="126" spans="2:3">
      <c r="B126" s="440"/>
      <c r="C126" s="437"/>
    </row>
    <row r="127" spans="2:3">
      <c r="B127" s="440"/>
      <c r="C127" s="437"/>
    </row>
    <row r="128" spans="2:3">
      <c r="B128" s="440"/>
      <c r="C128" s="437"/>
    </row>
    <row r="129" spans="2:3">
      <c r="B129" s="440"/>
      <c r="C129" s="437"/>
    </row>
    <row r="130" spans="2:3">
      <c r="B130" s="440"/>
      <c r="C130" s="437"/>
    </row>
    <row r="131" spans="2:3">
      <c r="B131" s="440"/>
      <c r="C131" s="437"/>
    </row>
    <row r="132" spans="2:3">
      <c r="B132" s="440"/>
      <c r="C132" s="437"/>
    </row>
    <row r="133" spans="2:3">
      <c r="B133" s="440"/>
      <c r="C133" s="437"/>
    </row>
    <row r="134" spans="2:3">
      <c r="B134" s="440"/>
      <c r="C134" s="437"/>
    </row>
    <row r="135" spans="2:3">
      <c r="B135" s="440"/>
      <c r="C135" s="437"/>
    </row>
    <row r="136" spans="2:3">
      <c r="B136" s="440"/>
      <c r="C136" s="437"/>
    </row>
    <row r="137" spans="2:3">
      <c r="B137" s="440"/>
      <c r="C137" s="437"/>
    </row>
    <row r="138" spans="2:3">
      <c r="B138" s="440"/>
      <c r="C138" s="437"/>
    </row>
    <row r="139" spans="2:3">
      <c r="B139" s="440"/>
      <c r="C139" s="437"/>
    </row>
    <row r="140" spans="2:3">
      <c r="B140" s="440"/>
      <c r="C140" s="437"/>
    </row>
    <row r="141" spans="2:3">
      <c r="B141" s="440"/>
      <c r="C141" s="437"/>
    </row>
    <row r="142" spans="2:3">
      <c r="B142" s="440"/>
      <c r="C142" s="437"/>
    </row>
    <row r="143" spans="2:3">
      <c r="B143" s="440"/>
      <c r="C143" s="437"/>
    </row>
    <row r="144" spans="2:3">
      <c r="B144" s="440"/>
      <c r="C144" s="437"/>
    </row>
    <row r="145" spans="2:3">
      <c r="B145" s="440"/>
      <c r="C145" s="437"/>
    </row>
    <row r="146" spans="2:3">
      <c r="B146" s="440"/>
      <c r="C146" s="437"/>
    </row>
    <row r="147" spans="2:3">
      <c r="B147" s="440"/>
      <c r="C147" s="437"/>
    </row>
    <row r="148" spans="2:3">
      <c r="B148" s="440"/>
      <c r="C148" s="437"/>
    </row>
    <row r="149" spans="2:3">
      <c r="B149" s="440"/>
      <c r="C149" s="437"/>
    </row>
    <row r="150" spans="2:3">
      <c r="B150" s="440"/>
      <c r="C150" s="437"/>
    </row>
    <row r="151" spans="2:3">
      <c r="B151" s="440"/>
      <c r="C151" s="437"/>
    </row>
    <row r="152" spans="2:3">
      <c r="B152" s="440"/>
      <c r="C152" s="437"/>
    </row>
    <row r="153" spans="2:3">
      <c r="B153" s="440"/>
      <c r="C153" s="437"/>
    </row>
    <row r="154" spans="2:3">
      <c r="B154" s="440"/>
      <c r="C154" s="437"/>
    </row>
    <row r="155" spans="2:3">
      <c r="B155" s="440"/>
      <c r="C155" s="437"/>
    </row>
    <row r="156" spans="2:3">
      <c r="B156" s="440"/>
      <c r="C156" s="437"/>
    </row>
    <row r="157" spans="2:3">
      <c r="B157" s="440"/>
      <c r="C157" s="437"/>
    </row>
    <row r="158" spans="2:3">
      <c r="B158" s="440"/>
      <c r="C158" s="437"/>
    </row>
    <row r="159" spans="2:3">
      <c r="B159" s="440"/>
      <c r="C159" s="437"/>
    </row>
    <row r="160" spans="2:3">
      <c r="B160" s="440"/>
      <c r="C160" s="437"/>
    </row>
    <row r="161" spans="2:3">
      <c r="B161" s="440"/>
      <c r="C161" s="437"/>
    </row>
    <row r="162" spans="2:3">
      <c r="B162" s="440"/>
      <c r="C162" s="437"/>
    </row>
    <row r="163" spans="2:3">
      <c r="B163" s="440"/>
      <c r="C163" s="437"/>
    </row>
    <row r="164" spans="2:3">
      <c r="B164" s="440"/>
      <c r="C164" s="437"/>
    </row>
    <row r="165" spans="2:3">
      <c r="B165" s="440"/>
      <c r="C165" s="437"/>
    </row>
    <row r="166" spans="2:3">
      <c r="B166" s="440"/>
      <c r="C166" s="437"/>
    </row>
    <row r="167" spans="2:3">
      <c r="B167" s="440"/>
      <c r="C167" s="437"/>
    </row>
    <row r="168" spans="2:3">
      <c r="B168" s="440"/>
      <c r="C168" s="437"/>
    </row>
    <row r="169" spans="2:3">
      <c r="B169" s="440"/>
      <c r="C169" s="437"/>
    </row>
    <row r="170" spans="2:3">
      <c r="B170" s="440"/>
      <c r="C170" s="437"/>
    </row>
    <row r="171" spans="2:3">
      <c r="B171" s="440"/>
      <c r="C171" s="437"/>
    </row>
    <row r="172" spans="2:3">
      <c r="B172" s="440"/>
      <c r="C172" s="437"/>
    </row>
    <row r="173" spans="2:3">
      <c r="B173" s="440"/>
      <c r="C173" s="437"/>
    </row>
    <row r="174" spans="2:3">
      <c r="B174" s="440"/>
      <c r="C174" s="437"/>
    </row>
    <row r="175" spans="2:3">
      <c r="B175" s="440"/>
      <c r="C175" s="437"/>
    </row>
    <row r="176" spans="2:3">
      <c r="B176" s="440"/>
      <c r="C176" s="437"/>
    </row>
    <row r="177" spans="2:3">
      <c r="B177" s="440"/>
      <c r="C177" s="437"/>
    </row>
    <row r="178" spans="2:3">
      <c r="B178" s="440"/>
      <c r="C178" s="437"/>
    </row>
    <row r="179" spans="2:3">
      <c r="B179" s="440"/>
      <c r="C179" s="437"/>
    </row>
    <row r="180" spans="2:3">
      <c r="B180" s="440"/>
      <c r="C180" s="437"/>
    </row>
    <row r="181" spans="2:3">
      <c r="B181" s="440"/>
      <c r="C181" s="437"/>
    </row>
    <row r="182" spans="2:3">
      <c r="B182" s="440"/>
      <c r="C182" s="437"/>
    </row>
    <row r="183" spans="2:3">
      <c r="B183" s="440"/>
      <c r="C183" s="437"/>
    </row>
    <row r="184" spans="2:3">
      <c r="B184" s="440"/>
      <c r="C184" s="437"/>
    </row>
    <row r="185" spans="2:3">
      <c r="B185" s="440"/>
      <c r="C185" s="437"/>
    </row>
    <row r="186" spans="2:3">
      <c r="B186" s="440"/>
      <c r="C186" s="437"/>
    </row>
    <row r="187" spans="2:3">
      <c r="B187" s="440"/>
      <c r="C187" s="437"/>
    </row>
    <row r="188" spans="2:3">
      <c r="B188" s="440"/>
      <c r="C188" s="437"/>
    </row>
    <row r="189" spans="2:3">
      <c r="B189" s="440"/>
      <c r="C189" s="437"/>
    </row>
    <row r="190" spans="2:3">
      <c r="B190" s="440"/>
      <c r="C190" s="437"/>
    </row>
    <row r="191" spans="2:3">
      <c r="B191" s="440"/>
      <c r="C191" s="437"/>
    </row>
    <row r="192" spans="2:3">
      <c r="B192" s="440"/>
      <c r="C192" s="437"/>
    </row>
    <row r="193" spans="2:3">
      <c r="B193" s="440"/>
      <c r="C193" s="437"/>
    </row>
    <row r="194" spans="2:3">
      <c r="B194" s="440"/>
      <c r="C194" s="437"/>
    </row>
    <row r="195" spans="2:3">
      <c r="B195" s="440"/>
      <c r="C195" s="437"/>
    </row>
    <row r="196" spans="2:3">
      <c r="B196" s="440"/>
      <c r="C196" s="437"/>
    </row>
    <row r="197" spans="2:3">
      <c r="B197" s="440"/>
      <c r="C197" s="437"/>
    </row>
    <row r="198" spans="2:3">
      <c r="B198" s="440"/>
      <c r="C198" s="437"/>
    </row>
    <row r="199" spans="2:3">
      <c r="B199" s="440"/>
      <c r="C199" s="437"/>
    </row>
    <row r="200" spans="2:3">
      <c r="B200" s="440"/>
      <c r="C200" s="437"/>
    </row>
    <row r="201" spans="2:3">
      <c r="B201" s="440"/>
      <c r="C201" s="437"/>
    </row>
    <row r="202" spans="2:3">
      <c r="B202" s="440"/>
      <c r="C202" s="437"/>
    </row>
    <row r="203" spans="2:3">
      <c r="B203" s="440"/>
      <c r="C203" s="437"/>
    </row>
    <row r="204" spans="2:3">
      <c r="B204" s="440"/>
      <c r="C204" s="437"/>
    </row>
    <row r="205" spans="2:3">
      <c r="B205" s="440"/>
      <c r="C205" s="437"/>
    </row>
    <row r="206" spans="2:3">
      <c r="B206" s="440"/>
      <c r="C206" s="437"/>
    </row>
    <row r="207" spans="2:3">
      <c r="B207" s="440"/>
      <c r="C207" s="437"/>
    </row>
    <row r="208" spans="2:3">
      <c r="B208" s="440"/>
      <c r="C208" s="437"/>
    </row>
    <row r="209" spans="2:3">
      <c r="B209" s="440"/>
      <c r="C209" s="437"/>
    </row>
    <row r="210" spans="2:3">
      <c r="B210" s="440"/>
      <c r="C210" s="437"/>
    </row>
    <row r="211" spans="2:3">
      <c r="B211" s="440"/>
      <c r="C211" s="437"/>
    </row>
    <row r="212" spans="2:3">
      <c r="B212" s="440"/>
      <c r="C212" s="437"/>
    </row>
    <row r="213" spans="2:3">
      <c r="B213" s="440"/>
      <c r="C213" s="437"/>
    </row>
    <row r="214" spans="2:3">
      <c r="B214" s="440"/>
      <c r="C214" s="437"/>
    </row>
    <row r="215" spans="2:3">
      <c r="B215" s="440"/>
      <c r="C215" s="437"/>
    </row>
    <row r="216" spans="2:3">
      <c r="B216" s="440"/>
      <c r="C216" s="437"/>
    </row>
    <row r="217" spans="2:3">
      <c r="B217" s="440"/>
      <c r="C217" s="437"/>
    </row>
    <row r="218" spans="2:3">
      <c r="B218" s="440"/>
      <c r="C218" s="437"/>
    </row>
    <row r="219" spans="2:3">
      <c r="B219" s="440"/>
      <c r="C219" s="437"/>
    </row>
    <row r="220" spans="2:3">
      <c r="B220" s="440"/>
      <c r="C220" s="437"/>
    </row>
    <row r="221" spans="2:3">
      <c r="B221" s="440"/>
      <c r="C221" s="437"/>
    </row>
    <row r="222" spans="2:3">
      <c r="B222" s="440"/>
      <c r="C222" s="437"/>
    </row>
    <row r="223" spans="2:3">
      <c r="B223" s="440"/>
      <c r="C223" s="437"/>
    </row>
    <row r="224" spans="2:3">
      <c r="B224" s="440"/>
      <c r="C224" s="437"/>
    </row>
    <row r="225" spans="2:3">
      <c r="B225" s="440"/>
      <c r="C225" s="437"/>
    </row>
    <row r="226" spans="2:3">
      <c r="B226" s="440"/>
      <c r="C226" s="437"/>
    </row>
    <row r="227" spans="2:3">
      <c r="B227" s="440"/>
      <c r="C227" s="437"/>
    </row>
    <row r="228" spans="2:3">
      <c r="B228" s="440"/>
      <c r="C228" s="437"/>
    </row>
    <row r="229" spans="2:3">
      <c r="B229" s="440"/>
      <c r="C229" s="437"/>
    </row>
    <row r="230" spans="2:3">
      <c r="B230" s="440"/>
      <c r="C230" s="437"/>
    </row>
    <row r="231" spans="2:3">
      <c r="B231" s="440"/>
      <c r="C231" s="437"/>
    </row>
    <row r="232" spans="2:3">
      <c r="B232" s="440"/>
      <c r="C232" s="437"/>
    </row>
    <row r="233" spans="2:3">
      <c r="B233" s="440"/>
      <c r="C233" s="437"/>
    </row>
    <row r="234" spans="2:3">
      <c r="B234" s="440"/>
      <c r="C234" s="437"/>
    </row>
    <row r="235" spans="2:3">
      <c r="B235" s="440"/>
      <c r="C235" s="437"/>
    </row>
    <row r="236" spans="2:3">
      <c r="B236" s="440"/>
      <c r="C236" s="437"/>
    </row>
    <row r="237" spans="2:3">
      <c r="B237" s="440"/>
      <c r="C237" s="437"/>
    </row>
    <row r="238" spans="2:3">
      <c r="B238" s="440"/>
      <c r="C238" s="437"/>
    </row>
    <row r="239" spans="2:3">
      <c r="B239" s="440"/>
      <c r="C239" s="437"/>
    </row>
    <row r="240" spans="2:3">
      <c r="B240" s="440"/>
      <c r="C240" s="437"/>
    </row>
    <row r="241" spans="2:3">
      <c r="B241" s="440"/>
      <c r="C241" s="437"/>
    </row>
    <row r="242" spans="2:3">
      <c r="B242" s="440"/>
      <c r="C242" s="437"/>
    </row>
    <row r="243" spans="2:3">
      <c r="B243" s="440"/>
      <c r="C243" s="437"/>
    </row>
    <row r="244" spans="2:3">
      <c r="B244" s="440"/>
      <c r="C244" s="437"/>
    </row>
    <row r="245" spans="2:3">
      <c r="B245" s="440"/>
      <c r="C245" s="437"/>
    </row>
    <row r="246" spans="2:3">
      <c r="B246" s="440"/>
      <c r="C246" s="437"/>
    </row>
    <row r="247" spans="2:3">
      <c r="B247" s="440"/>
      <c r="C247" s="437"/>
    </row>
    <row r="248" spans="2:3">
      <c r="B248" s="440"/>
      <c r="C248" s="437"/>
    </row>
    <row r="249" spans="2:3">
      <c r="B249" s="440"/>
      <c r="C249" s="437"/>
    </row>
    <row r="250" spans="2:3">
      <c r="B250" s="440"/>
      <c r="C250" s="437"/>
    </row>
    <row r="251" spans="2:3">
      <c r="B251" s="440"/>
      <c r="C251" s="437"/>
    </row>
    <row r="252" spans="2:3">
      <c r="B252" s="440"/>
      <c r="C252" s="437"/>
    </row>
    <row r="253" spans="2:3">
      <c r="B253" s="440"/>
      <c r="C253" s="437"/>
    </row>
    <row r="254" spans="2:3">
      <c r="B254" s="440"/>
      <c r="C254" s="437"/>
    </row>
    <row r="255" spans="2:3">
      <c r="B255" s="440"/>
      <c r="C255" s="437"/>
    </row>
    <row r="256" spans="2:3">
      <c r="B256" s="440"/>
      <c r="C256" s="437"/>
    </row>
    <row r="257" spans="2:3">
      <c r="B257" s="440"/>
      <c r="C257" s="437"/>
    </row>
    <row r="258" spans="2:3">
      <c r="B258" s="440"/>
      <c r="C258" s="437"/>
    </row>
    <row r="259" spans="2:3">
      <c r="B259" s="440"/>
      <c r="C259" s="437"/>
    </row>
    <row r="260" spans="2:3">
      <c r="B260" s="440"/>
      <c r="C260" s="437"/>
    </row>
    <row r="261" spans="2:3">
      <c r="B261" s="440"/>
      <c r="C261" s="437"/>
    </row>
    <row r="262" spans="2:3">
      <c r="B262" s="440"/>
      <c r="C262" s="437"/>
    </row>
    <row r="263" spans="2:3">
      <c r="B263" s="440"/>
      <c r="C263" s="437"/>
    </row>
    <row r="264" spans="2:3">
      <c r="B264" s="440"/>
      <c r="C264" s="437"/>
    </row>
    <row r="265" spans="2:3">
      <c r="B265" s="440"/>
      <c r="C265" s="437"/>
    </row>
    <row r="266" spans="2:3">
      <c r="B266" s="440"/>
      <c r="C266" s="437"/>
    </row>
    <row r="267" spans="2:3">
      <c r="B267" s="440"/>
      <c r="C267" s="437"/>
    </row>
    <row r="268" spans="2:3">
      <c r="B268" s="440"/>
      <c r="C268" s="437"/>
    </row>
    <row r="269" spans="2:3">
      <c r="B269" s="440"/>
      <c r="C269" s="437"/>
    </row>
    <row r="270" spans="2:3">
      <c r="B270" s="440"/>
      <c r="C270" s="437"/>
    </row>
    <row r="271" spans="2:3">
      <c r="B271" s="440"/>
      <c r="C271" s="437"/>
    </row>
    <row r="272" spans="2:3">
      <c r="B272" s="440"/>
      <c r="C272" s="437"/>
    </row>
    <row r="273" spans="2:3">
      <c r="B273" s="440"/>
      <c r="C273" s="437"/>
    </row>
    <row r="274" spans="2:3">
      <c r="B274" s="440"/>
      <c r="C274" s="437"/>
    </row>
    <row r="275" spans="2:3">
      <c r="B275" s="440"/>
      <c r="C275" s="437"/>
    </row>
    <row r="276" spans="2:3">
      <c r="B276" s="440"/>
      <c r="C276" s="437"/>
    </row>
    <row r="277" spans="2:3">
      <c r="B277" s="440"/>
      <c r="C277" s="437"/>
    </row>
    <row r="278" spans="2:3">
      <c r="B278" s="440"/>
      <c r="C278" s="437"/>
    </row>
    <row r="279" spans="2:3">
      <c r="B279" s="440"/>
      <c r="C279" s="437"/>
    </row>
    <row r="280" spans="2:3">
      <c r="B280" s="440"/>
      <c r="C280" s="437"/>
    </row>
    <row r="281" spans="2:3">
      <c r="B281" s="440"/>
      <c r="C281" s="437"/>
    </row>
    <row r="282" spans="2:3">
      <c r="B282" s="440"/>
      <c r="C282" s="437"/>
    </row>
    <row r="283" spans="2:3">
      <c r="B283" s="440"/>
      <c r="C283" s="437"/>
    </row>
    <row r="284" spans="2:3">
      <c r="B284" s="440"/>
      <c r="C284" s="437"/>
    </row>
    <row r="285" spans="2:3">
      <c r="B285" s="440"/>
      <c r="C285" s="437"/>
    </row>
    <row r="286" spans="2:3">
      <c r="B286" s="440"/>
      <c r="C286" s="437"/>
    </row>
    <row r="287" spans="2:3">
      <c r="B287" s="440"/>
      <c r="C287" s="437"/>
    </row>
    <row r="288" spans="2:3">
      <c r="B288" s="440"/>
      <c r="C288" s="437"/>
    </row>
    <row r="289" spans="2:3">
      <c r="B289" s="440"/>
      <c r="C289" s="437"/>
    </row>
    <row r="290" spans="2:3">
      <c r="B290" s="440"/>
      <c r="C290" s="437"/>
    </row>
    <row r="291" spans="2:3">
      <c r="B291" s="440"/>
      <c r="C291" s="437"/>
    </row>
    <row r="292" spans="2:3">
      <c r="B292" s="440"/>
      <c r="C292" s="437"/>
    </row>
    <row r="293" spans="2:3">
      <c r="B293" s="440"/>
      <c r="C293" s="437"/>
    </row>
    <row r="294" spans="2:3">
      <c r="B294" s="440"/>
      <c r="C294" s="437"/>
    </row>
    <row r="295" spans="2:3">
      <c r="B295" s="440"/>
      <c r="C295" s="437"/>
    </row>
    <row r="296" spans="2:3">
      <c r="B296" s="440"/>
      <c r="C296" s="437"/>
    </row>
    <row r="297" spans="2:3">
      <c r="B297" s="440"/>
      <c r="C297" s="437"/>
    </row>
    <row r="298" spans="2:3">
      <c r="B298" s="440"/>
      <c r="C298" s="437"/>
    </row>
    <row r="299" spans="2:3">
      <c r="B299" s="440"/>
      <c r="C299" s="437"/>
    </row>
    <row r="300" spans="2:3">
      <c r="B300" s="440"/>
      <c r="C300" s="437"/>
    </row>
    <row r="301" spans="2:3">
      <c r="B301" s="440"/>
      <c r="C301" s="437"/>
    </row>
    <row r="302" spans="2:3">
      <c r="B302" s="440"/>
      <c r="C302" s="437"/>
    </row>
    <row r="303" spans="2:3">
      <c r="B303" s="440"/>
      <c r="C303" s="437"/>
    </row>
    <row r="304" spans="2:3">
      <c r="B304" s="440"/>
      <c r="C304" s="437"/>
    </row>
    <row r="305" spans="2:3">
      <c r="B305" s="440"/>
      <c r="C305" s="437"/>
    </row>
    <row r="306" spans="2:3">
      <c r="B306" s="440"/>
      <c r="C306" s="437"/>
    </row>
    <row r="307" spans="2:3">
      <c r="B307" s="440"/>
      <c r="C307" s="437"/>
    </row>
    <row r="308" spans="2:3">
      <c r="B308" s="440"/>
      <c r="C308" s="437"/>
    </row>
    <row r="309" spans="2:3">
      <c r="B309" s="440"/>
      <c r="C309" s="437"/>
    </row>
    <row r="310" spans="2:3">
      <c r="B310" s="440"/>
      <c r="C310" s="437"/>
    </row>
    <row r="311" spans="2:3">
      <c r="B311" s="440"/>
      <c r="C311" s="437"/>
    </row>
    <row r="312" spans="2:3">
      <c r="B312" s="440"/>
      <c r="C312" s="437"/>
    </row>
    <row r="313" spans="2:3">
      <c r="B313" s="440"/>
      <c r="C313" s="437"/>
    </row>
    <row r="314" spans="2:3">
      <c r="B314" s="440"/>
      <c r="C314" s="437"/>
    </row>
    <row r="315" spans="2:3">
      <c r="B315" s="440"/>
      <c r="C315" s="437"/>
    </row>
    <row r="316" spans="2:3">
      <c r="B316" s="440"/>
      <c r="C316" s="437"/>
    </row>
  </sheetData>
  <mergeCells count="16">
    <mergeCell ref="B8:D8"/>
    <mergeCell ref="A13:B13"/>
    <mergeCell ref="A2:D2"/>
    <mergeCell ref="A3:D3"/>
    <mergeCell ref="D98:E98"/>
    <mergeCell ref="B4:D4"/>
    <mergeCell ref="C7:D7"/>
    <mergeCell ref="A9:C9"/>
    <mergeCell ref="B17:E17"/>
    <mergeCell ref="B37:C37"/>
    <mergeCell ref="D37:E37"/>
    <mergeCell ref="B39:E39"/>
    <mergeCell ref="B62:E62"/>
    <mergeCell ref="B78:C78"/>
    <mergeCell ref="D78:E78"/>
    <mergeCell ref="D97:E97"/>
  </mergeCells>
  <pageMargins left="0.70866141732283472" right="0.19685039370078741" top="0.74803149606299213" bottom="0.51181102362204722" header="0.31496062992125984" footer="0.31496062992125984"/>
  <pageSetup paperSize="9" scale="93" fitToHeight="3" orientation="portrait" r:id="rId1"/>
  <headerFooter alignWithMargins="0"/>
  <rowBreaks count="2" manualBreakCount="2">
    <brk id="36" max="4" man="1"/>
    <brk id="77" max="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 filterMode="1">
    <tabColor theme="8" tint="0.79998168889431442"/>
    <pageSetUpPr fitToPage="1"/>
  </sheetPr>
  <dimension ref="A1:Q62"/>
  <sheetViews>
    <sheetView topLeftCell="A11" zoomScale="75" zoomScaleNormal="75" workbookViewId="0">
      <selection activeCell="I53" sqref="I53"/>
    </sheetView>
  </sheetViews>
  <sheetFormatPr defaultColWidth="9.140625" defaultRowHeight="15.75"/>
  <cols>
    <col min="1" max="1" width="29.42578125" style="145" customWidth="1"/>
    <col min="2" max="2" width="8.42578125" style="145" hidden="1" customWidth="1"/>
    <col min="3" max="3" width="19.42578125" style="282" bestFit="1" customWidth="1"/>
    <col min="4" max="4" width="18" style="145" customWidth="1"/>
    <col min="5" max="5" width="17.28515625" style="145" customWidth="1"/>
    <col min="6" max="6" width="18.28515625" style="145" customWidth="1"/>
    <col min="7" max="7" width="16" style="145" customWidth="1"/>
    <col min="8" max="8" width="17.5703125" style="145" customWidth="1"/>
    <col min="9" max="9" width="16.85546875" style="145" customWidth="1"/>
    <col min="10" max="10" width="13.28515625" style="145" customWidth="1"/>
    <col min="11" max="11" width="11.85546875" style="145" customWidth="1"/>
    <col min="12" max="12" width="18.28515625" style="145" customWidth="1"/>
    <col min="13" max="13" width="16.7109375" style="145" customWidth="1"/>
    <col min="14" max="14" width="18" style="145" customWidth="1"/>
    <col min="15" max="15" width="16.28515625" style="145" customWidth="1"/>
    <col min="16" max="16" width="4.5703125" style="145" customWidth="1"/>
    <col min="17" max="17" width="14.42578125" style="788" customWidth="1"/>
    <col min="18" max="16384" width="9.140625" style="145"/>
  </cols>
  <sheetData>
    <row r="1" spans="1:17" s="146" customFormat="1" ht="21.75" hidden="1" customHeight="1">
      <c r="B1" s="147"/>
      <c r="C1" s="159"/>
      <c r="D1" s="148"/>
      <c r="E1" s="149"/>
      <c r="F1" s="159"/>
      <c r="G1" s="148"/>
    </row>
    <row r="2" spans="1:17" s="146" customFormat="1" ht="21.75" hidden="1" customHeight="1">
      <c r="B2" s="147"/>
      <c r="C2" s="159"/>
      <c r="E2" s="151"/>
      <c r="F2" s="159"/>
      <c r="G2" s="317"/>
    </row>
    <row r="3" spans="1:17" s="146" customFormat="1" ht="29.25" hidden="1" customHeight="1">
      <c r="A3" s="154"/>
      <c r="C3" s="153"/>
      <c r="D3" s="154"/>
      <c r="E3" s="151"/>
      <c r="F3" s="153"/>
      <c r="G3" s="154"/>
    </row>
    <row r="4" spans="1:17" s="146" customFormat="1" ht="24.75" hidden="1" customHeight="1">
      <c r="A4" s="155"/>
      <c r="C4" s="159"/>
      <c r="D4" s="156"/>
      <c r="E4" s="151"/>
      <c r="F4" s="159"/>
      <c r="G4" s="156"/>
    </row>
    <row r="5" spans="1:17" s="146" customFormat="1" ht="27.75" hidden="1" customHeight="1">
      <c r="A5" s="154"/>
      <c r="C5" s="153"/>
      <c r="D5" s="154"/>
      <c r="E5" s="151"/>
      <c r="F5" s="153"/>
      <c r="G5" s="154"/>
    </row>
    <row r="6" spans="1:17" s="146" customFormat="1" ht="30" hidden="1" customHeight="1">
      <c r="A6" s="154"/>
      <c r="C6" s="159"/>
      <c r="D6" s="156"/>
      <c r="E6" s="151"/>
      <c r="F6" s="159"/>
      <c r="G6" s="156"/>
    </row>
    <row r="7" spans="1:17" s="146" customFormat="1" ht="35.25" hidden="1" customHeight="1">
      <c r="A7" s="157"/>
      <c r="C7" s="683"/>
      <c r="E7" s="151"/>
      <c r="F7" s="683"/>
      <c r="G7" s="317"/>
    </row>
    <row r="8" spans="1:17" s="146" customFormat="1" ht="36" hidden="1" customHeight="1">
      <c r="A8" s="155"/>
      <c r="C8" s="159"/>
      <c r="D8" s="156"/>
      <c r="E8" s="151"/>
      <c r="F8" s="159"/>
      <c r="G8" s="156"/>
    </row>
    <row r="9" spans="1:17" s="146" customFormat="1" ht="33" hidden="1" customHeight="1">
      <c r="A9" s="155"/>
      <c r="C9" s="159"/>
      <c r="D9" s="149"/>
      <c r="E9" s="160"/>
      <c r="F9" s="161"/>
      <c r="G9" s="161"/>
    </row>
    <row r="10" spans="1:17" s="146" customFormat="1" ht="15.75" hidden="1" customHeight="1">
      <c r="B10" s="157"/>
      <c r="C10" s="773"/>
      <c r="D10" s="774"/>
      <c r="E10" s="774"/>
      <c r="F10" s="162"/>
      <c r="G10" s="162"/>
    </row>
    <row r="11" spans="1:17" ht="19.5">
      <c r="A11" s="967" t="s">
        <v>279</v>
      </c>
      <c r="B11" s="967"/>
      <c r="C11" s="967"/>
      <c r="D11" s="967"/>
      <c r="E11" s="967"/>
      <c r="F11" s="967"/>
      <c r="G11" s="967"/>
      <c r="H11" s="967"/>
      <c r="I11" s="967"/>
      <c r="J11" s="967"/>
      <c r="K11" s="967"/>
      <c r="L11" s="967"/>
      <c r="M11" s="967"/>
      <c r="N11" s="967"/>
      <c r="O11" s="967"/>
      <c r="P11" s="302"/>
    </row>
    <row r="12" spans="1:17" ht="43.5" customHeight="1">
      <c r="O12" s="163" t="s">
        <v>291</v>
      </c>
    </row>
    <row r="13" spans="1:17" s="165" customFormat="1" ht="54.75" customHeight="1">
      <c r="A13" s="968" t="s">
        <v>849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968"/>
      <c r="O13" s="968"/>
      <c r="P13" s="164"/>
      <c r="Q13" s="789"/>
    </row>
    <row r="14" spans="1:17" ht="19.5">
      <c r="A14" s="166"/>
      <c r="B14" s="166"/>
      <c r="C14" s="679"/>
      <c r="D14" s="166"/>
      <c r="E14" s="166"/>
      <c r="F14" s="166"/>
      <c r="G14" s="307"/>
      <c r="H14" s="166"/>
      <c r="I14" s="166"/>
      <c r="J14" s="166"/>
      <c r="K14" s="166"/>
      <c r="L14" s="166"/>
      <c r="M14" s="166"/>
      <c r="N14" s="166"/>
      <c r="O14" s="166"/>
      <c r="P14" s="166"/>
      <c r="Q14" s="790"/>
    </row>
    <row r="15" spans="1:17" ht="19.5">
      <c r="A15" s="967" t="s">
        <v>292</v>
      </c>
      <c r="B15" s="967"/>
      <c r="C15" s="967"/>
      <c r="D15" s="967"/>
      <c r="E15" s="967"/>
      <c r="F15" s="967"/>
      <c r="G15" s="967"/>
      <c r="H15" s="967"/>
      <c r="I15" s="967"/>
      <c r="J15" s="967"/>
      <c r="K15" s="967"/>
      <c r="L15" s="967"/>
      <c r="M15" s="967"/>
      <c r="N15" s="967"/>
      <c r="O15" s="967"/>
      <c r="P15" s="166"/>
      <c r="Q15" s="790"/>
    </row>
    <row r="16" spans="1:17" ht="20.100000000000001" customHeight="1">
      <c r="A16" s="810" t="s">
        <v>14</v>
      </c>
      <c r="B16" s="809"/>
    </row>
    <row r="17" spans="1:17" s="167" customFormat="1" ht="18.75" customHeight="1">
      <c r="A17" s="969" t="s">
        <v>0</v>
      </c>
      <c r="B17" s="972" t="s">
        <v>1121</v>
      </c>
      <c r="C17" s="975" t="s">
        <v>293</v>
      </c>
      <c r="D17" s="977" t="s">
        <v>294</v>
      </c>
      <c r="E17" s="978"/>
      <c r="F17" s="979" t="s">
        <v>295</v>
      </c>
      <c r="G17" s="979"/>
      <c r="H17" s="979"/>
      <c r="I17" s="979"/>
      <c r="J17" s="979"/>
      <c r="K17" s="979"/>
      <c r="L17" s="979"/>
      <c r="M17" s="979"/>
      <c r="N17" s="977" t="s">
        <v>296</v>
      </c>
      <c r="O17" s="980"/>
      <c r="P17" s="256"/>
      <c r="Q17" s="791"/>
    </row>
    <row r="18" spans="1:17" s="167" customFormat="1" ht="40.5" customHeight="1">
      <c r="A18" s="970"/>
      <c r="B18" s="973"/>
      <c r="C18" s="976"/>
      <c r="D18" s="961" t="s">
        <v>792</v>
      </c>
      <c r="E18" s="959" t="s">
        <v>865</v>
      </c>
      <c r="F18" s="957" t="s">
        <v>832</v>
      </c>
      <c r="G18" s="958"/>
      <c r="H18" s="957" t="s">
        <v>833</v>
      </c>
      <c r="I18" s="958"/>
      <c r="J18" s="959" t="s">
        <v>852</v>
      </c>
      <c r="K18" s="959" t="s">
        <v>851</v>
      </c>
      <c r="L18" s="957" t="s">
        <v>835</v>
      </c>
      <c r="M18" s="958"/>
      <c r="N18" s="961" t="s">
        <v>792</v>
      </c>
      <c r="O18" s="963" t="s">
        <v>866</v>
      </c>
      <c r="P18" s="256"/>
      <c r="Q18" s="791"/>
    </row>
    <row r="19" spans="1:17" s="167" customFormat="1" ht="74.25" customHeight="1">
      <c r="A19" s="971"/>
      <c r="B19" s="974"/>
      <c r="C19" s="960"/>
      <c r="D19" s="962"/>
      <c r="E19" s="960"/>
      <c r="F19" s="321" t="s">
        <v>792</v>
      </c>
      <c r="G19" s="321" t="s">
        <v>865</v>
      </c>
      <c r="H19" s="259" t="s">
        <v>792</v>
      </c>
      <c r="I19" s="259" t="s">
        <v>865</v>
      </c>
      <c r="J19" s="960"/>
      <c r="K19" s="960"/>
      <c r="L19" s="259" t="s">
        <v>792</v>
      </c>
      <c r="M19" s="259" t="s">
        <v>865</v>
      </c>
      <c r="N19" s="962"/>
      <c r="O19" s="964"/>
      <c r="P19" s="256"/>
      <c r="Q19" s="791"/>
    </row>
    <row r="20" spans="1:17" s="317" customFormat="1" ht="10.5" hidden="1" customHeight="1">
      <c r="A20" s="695" t="s">
        <v>1121</v>
      </c>
      <c r="B20" s="153"/>
      <c r="C20" s="159"/>
      <c r="D20" s="694" t="s">
        <v>1122</v>
      </c>
      <c r="E20" s="694" t="s">
        <v>1123</v>
      </c>
      <c r="F20" s="694" t="s">
        <v>1124</v>
      </c>
      <c r="G20" s="694" t="s">
        <v>1125</v>
      </c>
      <c r="H20" s="694" t="s">
        <v>1126</v>
      </c>
      <c r="I20" s="694" t="s">
        <v>1127</v>
      </c>
      <c r="J20" s="694" t="s">
        <v>1128</v>
      </c>
      <c r="K20" s="694" t="s">
        <v>1129</v>
      </c>
      <c r="L20" s="694" t="s">
        <v>1130</v>
      </c>
      <c r="M20" s="694" t="s">
        <v>1131</v>
      </c>
      <c r="N20" s="694" t="s">
        <v>1132</v>
      </c>
      <c r="O20" s="694" t="s">
        <v>1133</v>
      </c>
      <c r="Q20" s="749" t="s">
        <v>1137</v>
      </c>
    </row>
    <row r="21" spans="1:17" s="168" customFormat="1" ht="45" customHeight="1">
      <c r="A21" s="965" t="s">
        <v>298</v>
      </c>
      <c r="B21" s="738">
        <v>10</v>
      </c>
      <c r="C21" s="675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1" s="253">
        <f t="shared" ref="D21:K22" si="0">D24+D43+D45</f>
        <v>0</v>
      </c>
      <c r="E21" s="253">
        <f t="shared" si="0"/>
        <v>0</v>
      </c>
      <c r="F21" s="253">
        <f>F24+F43+F45</f>
        <v>0</v>
      </c>
      <c r="G21" s="305">
        <f>G24+G43+G45</f>
        <v>0</v>
      </c>
      <c r="H21" s="253">
        <f t="shared" si="0"/>
        <v>0</v>
      </c>
      <c r="I21" s="253">
        <f t="shared" si="0"/>
        <v>0</v>
      </c>
      <c r="J21" s="253">
        <f t="shared" si="0"/>
        <v>0</v>
      </c>
      <c r="K21" s="253">
        <f>K24+K43+K45</f>
        <v>0</v>
      </c>
      <c r="L21" s="253">
        <f>L24+L43+L45</f>
        <v>0</v>
      </c>
      <c r="M21" s="253">
        <f>M24+M43+M45</f>
        <v>0</v>
      </c>
      <c r="N21" s="253">
        <f>D21+F21+H21+L21</f>
        <v>0</v>
      </c>
      <c r="O21" s="254">
        <f>E21+G21+I21+J21+K21+M21</f>
        <v>0</v>
      </c>
      <c r="P21" s="257"/>
      <c r="Q21" s="792"/>
    </row>
    <row r="22" spans="1:17" ht="45" hidden="1" customHeight="1">
      <c r="A22" s="966"/>
      <c r="B22" s="747">
        <v>11</v>
      </c>
      <c r="C22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2" s="544">
        <f t="shared" si="0"/>
        <v>0</v>
      </c>
      <c r="E22" s="544">
        <f t="shared" si="0"/>
        <v>0</v>
      </c>
      <c r="F22" s="544">
        <f t="shared" si="0"/>
        <v>0</v>
      </c>
      <c r="G22" s="544">
        <f t="shared" ref="G22" si="1">G25+G44+G46</f>
        <v>0</v>
      </c>
      <c r="H22" s="544">
        <f t="shared" si="0"/>
        <v>0</v>
      </c>
      <c r="I22" s="544">
        <f t="shared" si="0"/>
        <v>0</v>
      </c>
      <c r="J22" s="544">
        <f t="shared" si="0"/>
        <v>0</v>
      </c>
      <c r="K22" s="544">
        <f t="shared" si="0"/>
        <v>0</v>
      </c>
      <c r="L22" s="544">
        <f>L25+L44+L46</f>
        <v>0</v>
      </c>
      <c r="M22" s="544">
        <f>M25+M44+M46</f>
        <v>0</v>
      </c>
      <c r="N22" s="544">
        <f>D22+F22+H22+L22</f>
        <v>0</v>
      </c>
      <c r="O22" s="545">
        <f>E22+G22+I22+J22+K22+M22</f>
        <v>0</v>
      </c>
      <c r="P22" s="183"/>
      <c r="Q22" s="788" t="s">
        <v>1136</v>
      </c>
    </row>
    <row r="23" spans="1:17" ht="21" customHeight="1">
      <c r="A23" s="750" t="s">
        <v>299</v>
      </c>
      <c r="B23" s="227"/>
      <c r="C23" s="955"/>
      <c r="D23" s="955"/>
      <c r="E23" s="955"/>
      <c r="F23" s="955"/>
      <c r="G23" s="955"/>
      <c r="H23" s="955"/>
      <c r="I23" s="955"/>
      <c r="J23" s="955"/>
      <c r="K23" s="955"/>
      <c r="L23" s="955"/>
      <c r="M23" s="955"/>
      <c r="N23" s="955"/>
      <c r="O23" s="956"/>
      <c r="P23" s="183"/>
    </row>
    <row r="24" spans="1:17" ht="45" customHeight="1">
      <c r="A24" s="952" t="s">
        <v>864</v>
      </c>
      <c r="B24" s="696">
        <v>20</v>
      </c>
      <c r="C24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4" s="230"/>
      <c r="E24" s="230"/>
      <c r="F24" s="230"/>
      <c r="G24" s="306"/>
      <c r="H24" s="230"/>
      <c r="I24" s="230"/>
      <c r="J24" s="230"/>
      <c r="K24" s="230"/>
      <c r="L24" s="230"/>
      <c r="M24" s="230"/>
      <c r="N24" s="230">
        <f>D24+F24+H24+L24</f>
        <v>0</v>
      </c>
      <c r="O24" s="169">
        <f>E24+G24+I24+J24+K24+M24</f>
        <v>0</v>
      </c>
      <c r="P24" s="183"/>
    </row>
    <row r="25" spans="1:17" ht="45" hidden="1" customHeight="1">
      <c r="A25" s="954"/>
      <c r="B25" s="697">
        <v>21</v>
      </c>
      <c r="C25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5" s="230"/>
      <c r="E25" s="230"/>
      <c r="F25" s="230"/>
      <c r="G25" s="306"/>
      <c r="H25" s="230"/>
      <c r="I25" s="230"/>
      <c r="J25" s="230"/>
      <c r="K25" s="230"/>
      <c r="L25" s="230"/>
      <c r="M25" s="230"/>
      <c r="N25" s="230">
        <f t="shared" ref="N25:N46" si="2">D25+F25+H25+L25</f>
        <v>0</v>
      </c>
      <c r="O25" s="308">
        <f>E25+G25+I25+J25+K25+M25</f>
        <v>0</v>
      </c>
      <c r="P25" s="183"/>
      <c r="Q25" s="788" t="s">
        <v>1136</v>
      </c>
    </row>
    <row r="26" spans="1:17" hidden="1">
      <c r="A26" s="255"/>
      <c r="B26" s="697"/>
      <c r="C26" s="689" t="s">
        <v>1138</v>
      </c>
      <c r="D26" s="230"/>
      <c r="E26" s="230"/>
      <c r="F26" s="230"/>
      <c r="G26" s="306"/>
      <c r="H26" s="230"/>
      <c r="I26" s="230"/>
      <c r="J26" s="230"/>
      <c r="K26" s="230"/>
      <c r="L26" s="230"/>
      <c r="M26" s="230"/>
      <c r="N26" s="230">
        <f t="shared" si="2"/>
        <v>0</v>
      </c>
      <c r="O26" s="308">
        <f t="shared" ref="O26:O46" si="3">E26+G26+I26+J26+K26+M26</f>
        <v>0</v>
      </c>
      <c r="P26" s="183"/>
      <c r="Q26" s="689" t="s">
        <v>1138</v>
      </c>
    </row>
    <row r="27" spans="1:17" hidden="1">
      <c r="A27" s="255"/>
      <c r="B27" s="697"/>
      <c r="C27" s="689" t="s">
        <v>1138</v>
      </c>
      <c r="D27" s="230"/>
      <c r="E27" s="230"/>
      <c r="F27" s="230"/>
      <c r="G27" s="306"/>
      <c r="H27" s="230"/>
      <c r="I27" s="230"/>
      <c r="J27" s="230"/>
      <c r="K27" s="230"/>
      <c r="L27" s="230"/>
      <c r="M27" s="230"/>
      <c r="N27" s="230">
        <f t="shared" si="2"/>
        <v>0</v>
      </c>
      <c r="O27" s="308">
        <f t="shared" si="3"/>
        <v>0</v>
      </c>
      <c r="P27" s="183"/>
      <c r="Q27" s="689" t="s">
        <v>1138</v>
      </c>
    </row>
    <row r="28" spans="1:17" hidden="1">
      <c r="A28" s="255"/>
      <c r="B28" s="697"/>
      <c r="C28" s="689" t="s">
        <v>1138</v>
      </c>
      <c r="D28" s="230"/>
      <c r="E28" s="230"/>
      <c r="F28" s="230"/>
      <c r="G28" s="306"/>
      <c r="H28" s="230"/>
      <c r="I28" s="230"/>
      <c r="J28" s="230"/>
      <c r="K28" s="230"/>
      <c r="L28" s="230"/>
      <c r="M28" s="230"/>
      <c r="N28" s="230">
        <f t="shared" si="2"/>
        <v>0</v>
      </c>
      <c r="O28" s="308">
        <f t="shared" si="3"/>
        <v>0</v>
      </c>
      <c r="P28" s="183"/>
      <c r="Q28" s="689" t="s">
        <v>1138</v>
      </c>
    </row>
    <row r="29" spans="1:17" hidden="1">
      <c r="A29" s="255"/>
      <c r="B29" s="697"/>
      <c r="C29" s="689" t="s">
        <v>1138</v>
      </c>
      <c r="D29" s="230"/>
      <c r="E29" s="230"/>
      <c r="F29" s="230"/>
      <c r="G29" s="306"/>
      <c r="H29" s="230"/>
      <c r="I29" s="230"/>
      <c r="J29" s="230"/>
      <c r="K29" s="230"/>
      <c r="L29" s="230"/>
      <c r="M29" s="230"/>
      <c r="N29" s="230">
        <f t="shared" si="2"/>
        <v>0</v>
      </c>
      <c r="O29" s="308">
        <f t="shared" si="3"/>
        <v>0</v>
      </c>
      <c r="P29" s="183"/>
      <c r="Q29" s="689" t="s">
        <v>1138</v>
      </c>
    </row>
    <row r="30" spans="1:17" hidden="1">
      <c r="A30" s="255"/>
      <c r="B30" s="697"/>
      <c r="C30" s="689" t="s">
        <v>1138</v>
      </c>
      <c r="D30" s="230"/>
      <c r="E30" s="230"/>
      <c r="F30" s="230"/>
      <c r="G30" s="306"/>
      <c r="H30" s="230"/>
      <c r="I30" s="230"/>
      <c r="J30" s="230"/>
      <c r="K30" s="230"/>
      <c r="L30" s="230"/>
      <c r="M30" s="230"/>
      <c r="N30" s="230">
        <f t="shared" si="2"/>
        <v>0</v>
      </c>
      <c r="O30" s="308">
        <f t="shared" si="3"/>
        <v>0</v>
      </c>
      <c r="P30" s="183"/>
      <c r="Q30" s="689" t="s">
        <v>1138</v>
      </c>
    </row>
    <row r="31" spans="1:17" hidden="1">
      <c r="A31" s="255"/>
      <c r="B31" s="697"/>
      <c r="C31" s="689" t="s">
        <v>1138</v>
      </c>
      <c r="D31" s="230"/>
      <c r="E31" s="230"/>
      <c r="F31" s="230"/>
      <c r="G31" s="306"/>
      <c r="H31" s="230"/>
      <c r="I31" s="230"/>
      <c r="J31" s="230"/>
      <c r="K31" s="230"/>
      <c r="L31" s="230"/>
      <c r="M31" s="230"/>
      <c r="N31" s="230">
        <f t="shared" si="2"/>
        <v>0</v>
      </c>
      <c r="O31" s="308">
        <f t="shared" si="3"/>
        <v>0</v>
      </c>
      <c r="P31" s="183"/>
      <c r="Q31" s="689" t="s">
        <v>1138</v>
      </c>
    </row>
    <row r="32" spans="1:17" hidden="1">
      <c r="A32" s="255"/>
      <c r="B32" s="697"/>
      <c r="C32" s="689" t="s">
        <v>1138</v>
      </c>
      <c r="D32" s="230"/>
      <c r="E32" s="230"/>
      <c r="F32" s="230"/>
      <c r="G32" s="306"/>
      <c r="H32" s="230"/>
      <c r="I32" s="230"/>
      <c r="J32" s="230"/>
      <c r="K32" s="230"/>
      <c r="L32" s="230"/>
      <c r="M32" s="230"/>
      <c r="N32" s="230">
        <f t="shared" si="2"/>
        <v>0</v>
      </c>
      <c r="O32" s="308">
        <f t="shared" si="3"/>
        <v>0</v>
      </c>
      <c r="P32" s="183"/>
      <c r="Q32" s="689" t="s">
        <v>1138</v>
      </c>
    </row>
    <row r="33" spans="1:17" hidden="1">
      <c r="A33" s="255"/>
      <c r="B33" s="697"/>
      <c r="C33" s="689" t="s">
        <v>1138</v>
      </c>
      <c r="D33" s="230"/>
      <c r="E33" s="230"/>
      <c r="F33" s="230"/>
      <c r="G33" s="306"/>
      <c r="H33" s="230"/>
      <c r="I33" s="230"/>
      <c r="J33" s="230"/>
      <c r="K33" s="230"/>
      <c r="L33" s="230"/>
      <c r="M33" s="230"/>
      <c r="N33" s="230">
        <f t="shared" si="2"/>
        <v>0</v>
      </c>
      <c r="O33" s="308">
        <f t="shared" si="3"/>
        <v>0</v>
      </c>
      <c r="P33" s="183"/>
      <c r="Q33" s="689" t="s">
        <v>1138</v>
      </c>
    </row>
    <row r="34" spans="1:17" hidden="1">
      <c r="A34" s="255"/>
      <c r="B34" s="697"/>
      <c r="C34" s="689" t="s">
        <v>1138</v>
      </c>
      <c r="D34" s="230"/>
      <c r="E34" s="230"/>
      <c r="F34" s="230"/>
      <c r="G34" s="306"/>
      <c r="H34" s="230"/>
      <c r="I34" s="230"/>
      <c r="J34" s="230"/>
      <c r="K34" s="230"/>
      <c r="L34" s="230"/>
      <c r="M34" s="230"/>
      <c r="N34" s="230">
        <f t="shared" si="2"/>
        <v>0</v>
      </c>
      <c r="O34" s="308">
        <f t="shared" si="3"/>
        <v>0</v>
      </c>
      <c r="P34" s="183"/>
      <c r="Q34" s="689" t="s">
        <v>1138</v>
      </c>
    </row>
    <row r="35" spans="1:17" hidden="1">
      <c r="A35" s="255"/>
      <c r="B35" s="697"/>
      <c r="C35" s="689" t="s">
        <v>1138</v>
      </c>
      <c r="D35" s="230"/>
      <c r="E35" s="230"/>
      <c r="F35" s="230"/>
      <c r="G35" s="306"/>
      <c r="H35" s="230"/>
      <c r="I35" s="230"/>
      <c r="J35" s="230"/>
      <c r="K35" s="230"/>
      <c r="L35" s="230"/>
      <c r="M35" s="230"/>
      <c r="N35" s="230">
        <f t="shared" si="2"/>
        <v>0</v>
      </c>
      <c r="O35" s="308">
        <f t="shared" si="3"/>
        <v>0</v>
      </c>
      <c r="P35" s="183"/>
      <c r="Q35" s="689" t="s">
        <v>1138</v>
      </c>
    </row>
    <row r="36" spans="1:17" hidden="1">
      <c r="A36" s="255"/>
      <c r="B36" s="697"/>
      <c r="C36" s="689" t="s">
        <v>1138</v>
      </c>
      <c r="D36" s="230"/>
      <c r="E36" s="230"/>
      <c r="F36" s="230"/>
      <c r="G36" s="306"/>
      <c r="H36" s="230"/>
      <c r="I36" s="230"/>
      <c r="J36" s="230"/>
      <c r="K36" s="230"/>
      <c r="L36" s="230"/>
      <c r="M36" s="230"/>
      <c r="N36" s="230">
        <f t="shared" si="2"/>
        <v>0</v>
      </c>
      <c r="O36" s="308">
        <f t="shared" si="3"/>
        <v>0</v>
      </c>
      <c r="P36" s="183"/>
      <c r="Q36" s="689" t="s">
        <v>1138</v>
      </c>
    </row>
    <row r="37" spans="1:17" hidden="1">
      <c r="A37" s="255"/>
      <c r="B37" s="697"/>
      <c r="C37" s="689" t="s">
        <v>1138</v>
      </c>
      <c r="D37" s="230"/>
      <c r="E37" s="230"/>
      <c r="F37" s="230"/>
      <c r="G37" s="306"/>
      <c r="H37" s="230"/>
      <c r="I37" s="230"/>
      <c r="J37" s="230"/>
      <c r="K37" s="230"/>
      <c r="L37" s="230"/>
      <c r="M37" s="230"/>
      <c r="N37" s="230">
        <f t="shared" si="2"/>
        <v>0</v>
      </c>
      <c r="O37" s="308">
        <f t="shared" si="3"/>
        <v>0</v>
      </c>
      <c r="P37" s="183"/>
      <c r="Q37" s="689" t="s">
        <v>1138</v>
      </c>
    </row>
    <row r="38" spans="1:17" hidden="1">
      <c r="A38" s="255"/>
      <c r="B38" s="697"/>
      <c r="C38" s="689" t="s">
        <v>1138</v>
      </c>
      <c r="D38" s="230"/>
      <c r="E38" s="230"/>
      <c r="F38" s="230"/>
      <c r="G38" s="306"/>
      <c r="H38" s="230"/>
      <c r="I38" s="230"/>
      <c r="J38" s="230"/>
      <c r="K38" s="230"/>
      <c r="L38" s="230"/>
      <c r="M38" s="230"/>
      <c r="N38" s="230">
        <f t="shared" si="2"/>
        <v>0</v>
      </c>
      <c r="O38" s="308">
        <f t="shared" si="3"/>
        <v>0</v>
      </c>
      <c r="P38" s="183"/>
      <c r="Q38" s="689" t="s">
        <v>1138</v>
      </c>
    </row>
    <row r="39" spans="1:17" hidden="1">
      <c r="A39" s="255"/>
      <c r="B39" s="697"/>
      <c r="C39" s="689" t="s">
        <v>1138</v>
      </c>
      <c r="D39" s="230"/>
      <c r="E39" s="230"/>
      <c r="F39" s="230"/>
      <c r="G39" s="306"/>
      <c r="H39" s="230"/>
      <c r="I39" s="230"/>
      <c r="J39" s="230"/>
      <c r="K39" s="230"/>
      <c r="L39" s="230"/>
      <c r="M39" s="230"/>
      <c r="N39" s="230">
        <f t="shared" si="2"/>
        <v>0</v>
      </c>
      <c r="O39" s="308">
        <f t="shared" si="3"/>
        <v>0</v>
      </c>
      <c r="P39" s="183"/>
      <c r="Q39" s="689" t="s">
        <v>1138</v>
      </c>
    </row>
    <row r="40" spans="1:17" hidden="1">
      <c r="A40" s="255"/>
      <c r="B40" s="697"/>
      <c r="C40" s="689" t="s">
        <v>1138</v>
      </c>
      <c r="D40" s="230"/>
      <c r="E40" s="230"/>
      <c r="F40" s="230"/>
      <c r="G40" s="306"/>
      <c r="H40" s="230"/>
      <c r="I40" s="230"/>
      <c r="J40" s="230"/>
      <c r="K40" s="230"/>
      <c r="L40" s="230"/>
      <c r="M40" s="230"/>
      <c r="N40" s="230">
        <f t="shared" si="2"/>
        <v>0</v>
      </c>
      <c r="O40" s="308">
        <f t="shared" si="3"/>
        <v>0</v>
      </c>
      <c r="P40" s="183"/>
      <c r="Q40" s="689" t="s">
        <v>1138</v>
      </c>
    </row>
    <row r="41" spans="1:17" hidden="1">
      <c r="A41" s="255"/>
      <c r="B41" s="697"/>
      <c r="C41" s="689" t="s">
        <v>1138</v>
      </c>
      <c r="D41" s="230"/>
      <c r="E41" s="230"/>
      <c r="F41" s="230"/>
      <c r="G41" s="306"/>
      <c r="H41" s="230"/>
      <c r="I41" s="230"/>
      <c r="J41" s="230"/>
      <c r="K41" s="230"/>
      <c r="L41" s="230"/>
      <c r="M41" s="230"/>
      <c r="N41" s="230">
        <f t="shared" si="2"/>
        <v>0</v>
      </c>
      <c r="O41" s="308">
        <f t="shared" si="3"/>
        <v>0</v>
      </c>
      <c r="P41" s="183"/>
      <c r="Q41" s="689" t="s">
        <v>1138</v>
      </c>
    </row>
    <row r="42" spans="1:17" hidden="1">
      <c r="A42" s="255"/>
      <c r="B42" s="697"/>
      <c r="C42" s="689" t="s">
        <v>1138</v>
      </c>
      <c r="D42" s="230"/>
      <c r="E42" s="230"/>
      <c r="F42" s="230"/>
      <c r="G42" s="306"/>
      <c r="H42" s="230"/>
      <c r="I42" s="230"/>
      <c r="J42" s="230"/>
      <c r="K42" s="230"/>
      <c r="L42" s="230"/>
      <c r="M42" s="230"/>
      <c r="N42" s="230">
        <f t="shared" si="2"/>
        <v>0</v>
      </c>
      <c r="O42" s="308">
        <f t="shared" si="3"/>
        <v>0</v>
      </c>
      <c r="P42" s="183"/>
      <c r="Q42" s="689" t="s">
        <v>1138</v>
      </c>
    </row>
    <row r="43" spans="1:17" ht="50.25" hidden="1" customHeight="1">
      <c r="A43" s="548"/>
      <c r="B43" s="697"/>
      <c r="C43" s="689" t="s">
        <v>1138</v>
      </c>
      <c r="D43" s="230"/>
      <c r="E43" s="230"/>
      <c r="F43" s="230"/>
      <c r="G43" s="306"/>
      <c r="H43" s="230"/>
      <c r="I43" s="230"/>
      <c r="J43" s="297"/>
      <c r="K43" s="230"/>
      <c r="L43" s="230"/>
      <c r="M43" s="230"/>
      <c r="N43" s="230"/>
      <c r="O43" s="308"/>
      <c r="P43" s="183"/>
      <c r="Q43" s="689" t="s">
        <v>1138</v>
      </c>
    </row>
    <row r="44" spans="1:17" ht="33" hidden="1" customHeight="1">
      <c r="A44" s="548"/>
      <c r="B44" s="697"/>
      <c r="C44" s="689" t="s">
        <v>1138</v>
      </c>
      <c r="D44" s="230"/>
      <c r="E44" s="230"/>
      <c r="F44" s="230"/>
      <c r="G44" s="306"/>
      <c r="H44" s="230"/>
      <c r="I44" s="230"/>
      <c r="J44" s="230"/>
      <c r="K44" s="303"/>
      <c r="L44" s="230"/>
      <c r="M44" s="230"/>
      <c r="N44" s="230"/>
      <c r="O44" s="308"/>
      <c r="P44" s="183"/>
      <c r="Q44" s="689" t="s">
        <v>1138</v>
      </c>
    </row>
    <row r="45" spans="1:17" ht="39.950000000000003" customHeight="1">
      <c r="A45" s="952" t="s">
        <v>278</v>
      </c>
      <c r="B45" s="698">
        <v>90</v>
      </c>
      <c r="C45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5" s="785"/>
      <c r="E45" s="785"/>
      <c r="F45" s="785"/>
      <c r="G45" s="785"/>
      <c r="H45" s="785"/>
      <c r="I45" s="785"/>
      <c r="J45" s="785"/>
      <c r="K45" s="785"/>
      <c r="L45" s="785"/>
      <c r="M45" s="785"/>
      <c r="N45" s="785">
        <f t="shared" si="2"/>
        <v>0</v>
      </c>
      <c r="O45" s="536">
        <f t="shared" si="3"/>
        <v>0</v>
      </c>
      <c r="P45" s="183"/>
    </row>
    <row r="46" spans="1:17" ht="39.950000000000003" hidden="1" customHeight="1">
      <c r="A46" s="953"/>
      <c r="B46" s="746">
        <v>91</v>
      </c>
      <c r="C46" s="783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6" s="546"/>
      <c r="E46" s="546"/>
      <c r="F46" s="546"/>
      <c r="G46" s="546"/>
      <c r="H46" s="546"/>
      <c r="I46" s="546"/>
      <c r="J46" s="546"/>
      <c r="K46" s="546"/>
      <c r="L46" s="546"/>
      <c r="M46" s="546"/>
      <c r="N46" s="546">
        <f t="shared" si="2"/>
        <v>0</v>
      </c>
      <c r="O46" s="547">
        <f t="shared" si="3"/>
        <v>0</v>
      </c>
      <c r="P46" s="183"/>
      <c r="Q46" s="788" t="s">
        <v>1136</v>
      </c>
    </row>
    <row r="47" spans="1:17" ht="18.75" customHeight="1">
      <c r="A47" s="831"/>
      <c r="B47" s="170"/>
      <c r="C47" s="832"/>
      <c r="D47" s="833"/>
      <c r="E47" s="833"/>
      <c r="F47" s="833"/>
      <c r="G47" s="833"/>
      <c r="H47" s="833"/>
      <c r="I47" s="833"/>
      <c r="J47" s="833"/>
      <c r="K47" s="833"/>
      <c r="L47" s="833"/>
      <c r="M47" s="833"/>
      <c r="N47" s="833"/>
      <c r="O47" s="833"/>
      <c r="P47" s="170"/>
      <c r="Q47" s="793"/>
    </row>
    <row r="48" spans="1:17" ht="18.75" customHeight="1">
      <c r="A48" s="171"/>
      <c r="B48" s="170"/>
      <c r="C48" s="681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793"/>
    </row>
    <row r="49" spans="1:17" ht="18.75" customHeight="1">
      <c r="A49" s="171"/>
      <c r="B49" s="170"/>
      <c r="C49" s="681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793"/>
    </row>
    <row r="50" spans="1:17" ht="18.75" customHeight="1">
      <c r="A50" s="171"/>
      <c r="B50" s="170"/>
      <c r="C50" s="681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793"/>
    </row>
    <row r="51" spans="1:17" s="171" customFormat="1" ht="18.75" customHeight="1">
      <c r="C51" s="682"/>
      <c r="Q51" s="794"/>
    </row>
    <row r="52" spans="1:17" ht="21" customHeight="1">
      <c r="B52" s="167"/>
    </row>
    <row r="54" spans="1:17" ht="18.75" customHeight="1"/>
    <row r="55" spans="1:17" ht="18.75" customHeight="1"/>
    <row r="56" spans="1:17" ht="18.75" customHeight="1"/>
    <row r="57" spans="1:17" ht="18.75" customHeight="1"/>
    <row r="58" spans="1:17" ht="18.75" customHeight="1"/>
    <row r="59" spans="1:17" ht="18.75" customHeight="1"/>
    <row r="60" spans="1:17" ht="18.75" customHeight="1"/>
    <row r="61" spans="1:17" ht="18.75" customHeight="1"/>
    <row r="62" spans="1:17" ht="18.75" customHeight="1"/>
  </sheetData>
  <autoFilter ref="Q20:Q46">
    <filterColumn colId="0">
      <filters blank="1"/>
    </filterColumn>
  </autoFilter>
  <mergeCells count="22">
    <mergeCell ref="A11:O11"/>
    <mergeCell ref="A13:O13"/>
    <mergeCell ref="A15:O15"/>
    <mergeCell ref="A17:A19"/>
    <mergeCell ref="B17:B19"/>
    <mergeCell ref="C17:C19"/>
    <mergeCell ref="D17:E17"/>
    <mergeCell ref="F17:M17"/>
    <mergeCell ref="N17:O17"/>
    <mergeCell ref="D18:D19"/>
    <mergeCell ref="E18:E19"/>
    <mergeCell ref="K18:K19"/>
    <mergeCell ref="L18:M18"/>
    <mergeCell ref="F18:G18"/>
    <mergeCell ref="A45:A46"/>
    <mergeCell ref="A24:A25"/>
    <mergeCell ref="C23:O23"/>
    <mergeCell ref="H18:I18"/>
    <mergeCell ref="J18:J19"/>
    <mergeCell ref="N18:N19"/>
    <mergeCell ref="O18:O19"/>
    <mergeCell ref="A21:A22"/>
  </mergeCells>
  <pageMargins left="0.42" right="0.23622047244094491" top="0.56000000000000005" bottom="0.23622047244094491" header="0.37" footer="0.15748031496062992"/>
  <pageSetup paperSize="9" scale="5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 filterMode="1">
    <tabColor theme="8" tint="0.79998168889431442"/>
    <pageSetUpPr fitToPage="1"/>
  </sheetPr>
  <dimension ref="A1:Q45"/>
  <sheetViews>
    <sheetView topLeftCell="A2" zoomScale="75" zoomScaleNormal="75" workbookViewId="0">
      <selection activeCell="I53" sqref="I53"/>
    </sheetView>
  </sheetViews>
  <sheetFormatPr defaultColWidth="9.140625" defaultRowHeight="15.75"/>
  <cols>
    <col min="1" max="1" width="25" style="145" customWidth="1"/>
    <col min="2" max="2" width="10.5703125" style="145" hidden="1" customWidth="1"/>
    <col min="3" max="3" width="19.5703125" style="282" customWidth="1"/>
    <col min="4" max="4" width="18" style="145" customWidth="1"/>
    <col min="5" max="5" width="16.42578125" style="145" customWidth="1"/>
    <col min="6" max="6" width="17" style="145" customWidth="1"/>
    <col min="7" max="7" width="15.28515625" style="145" customWidth="1"/>
    <col min="8" max="8" width="16.140625" style="145" customWidth="1"/>
    <col min="9" max="9" width="15.28515625" style="145" customWidth="1"/>
    <col min="10" max="10" width="12.85546875" style="145" customWidth="1"/>
    <col min="11" max="11" width="11.85546875" style="145" customWidth="1"/>
    <col min="12" max="12" width="17.7109375" style="145" customWidth="1"/>
    <col min="13" max="13" width="16.140625" style="145" customWidth="1"/>
    <col min="14" max="14" width="17.85546875" style="145" customWidth="1"/>
    <col min="15" max="15" width="16.28515625" style="145" customWidth="1"/>
    <col min="16" max="16" width="6.28515625" style="145" customWidth="1"/>
    <col min="17" max="17" width="14.42578125" style="788" customWidth="1"/>
    <col min="18" max="16384" width="9.140625" style="145"/>
  </cols>
  <sheetData>
    <row r="1" spans="1:17" ht="23.25" hidden="1" customHeight="1">
      <c r="A1" s="737" t="s">
        <v>1121</v>
      </c>
      <c r="B1" s="245"/>
      <c r="C1" s="685"/>
      <c r="D1" s="694" t="s">
        <v>1122</v>
      </c>
      <c r="E1" s="694" t="s">
        <v>1123</v>
      </c>
      <c r="F1" s="694" t="s">
        <v>1124</v>
      </c>
      <c r="G1" s="694" t="s">
        <v>1125</v>
      </c>
      <c r="H1" s="694" t="s">
        <v>1126</v>
      </c>
      <c r="I1" s="694" t="s">
        <v>1127</v>
      </c>
      <c r="J1" s="694" t="s">
        <v>1128</v>
      </c>
      <c r="K1" s="694" t="s">
        <v>1129</v>
      </c>
      <c r="L1" s="694" t="s">
        <v>1130</v>
      </c>
      <c r="M1" s="694" t="s">
        <v>1131</v>
      </c>
      <c r="N1" s="694" t="s">
        <v>1132</v>
      </c>
      <c r="O1" s="694" t="s">
        <v>1133</v>
      </c>
      <c r="Q1" s="749" t="s">
        <v>1137</v>
      </c>
    </row>
    <row r="2" spans="1:17" ht="19.5">
      <c r="A2" s="166"/>
      <c r="B2" s="166"/>
      <c r="C2" s="679"/>
      <c r="D2" s="166"/>
      <c r="E2" s="166"/>
      <c r="F2" s="307"/>
      <c r="G2" s="166"/>
      <c r="H2" s="166"/>
      <c r="I2" s="166"/>
      <c r="J2" s="166"/>
      <c r="K2" s="166"/>
      <c r="L2" s="166"/>
      <c r="M2" s="166"/>
      <c r="N2" s="166"/>
      <c r="O2" s="163" t="s">
        <v>301</v>
      </c>
      <c r="P2" s="166"/>
      <c r="Q2" s="792"/>
    </row>
    <row r="3" spans="1:17" ht="19.5">
      <c r="A3" s="967" t="s">
        <v>795</v>
      </c>
      <c r="B3" s="967"/>
      <c r="C3" s="967"/>
      <c r="D3" s="967"/>
      <c r="E3" s="967"/>
      <c r="F3" s="967"/>
      <c r="G3" s="967"/>
      <c r="H3" s="967"/>
      <c r="I3" s="967"/>
      <c r="J3" s="967"/>
      <c r="K3" s="967"/>
      <c r="L3" s="967"/>
      <c r="M3" s="967"/>
      <c r="N3" s="967"/>
      <c r="O3" s="967"/>
      <c r="P3" s="166"/>
      <c r="Q3" s="792"/>
    </row>
    <row r="4" spans="1:17" ht="20.100000000000001" customHeight="1">
      <c r="A4" s="810" t="s">
        <v>14</v>
      </c>
      <c r="Q4" s="792"/>
    </row>
    <row r="5" spans="1:17" s="167" customFormat="1" ht="18.75" customHeight="1">
      <c r="A5" s="969" t="s">
        <v>0</v>
      </c>
      <c r="B5" s="972" t="s">
        <v>1121</v>
      </c>
      <c r="C5" s="975" t="s">
        <v>293</v>
      </c>
      <c r="D5" s="977" t="s">
        <v>294</v>
      </c>
      <c r="E5" s="978"/>
      <c r="F5" s="977" t="s">
        <v>295</v>
      </c>
      <c r="G5" s="979"/>
      <c r="H5" s="979"/>
      <c r="I5" s="979"/>
      <c r="J5" s="979"/>
      <c r="K5" s="979"/>
      <c r="L5" s="979"/>
      <c r="M5" s="978"/>
      <c r="N5" s="977" t="s">
        <v>296</v>
      </c>
      <c r="O5" s="980"/>
      <c r="P5" s="256"/>
      <c r="Q5" s="792"/>
    </row>
    <row r="6" spans="1:17" s="167" customFormat="1" ht="42.75" customHeight="1">
      <c r="A6" s="970"/>
      <c r="B6" s="973"/>
      <c r="C6" s="976"/>
      <c r="D6" s="961" t="s">
        <v>792</v>
      </c>
      <c r="E6" s="959" t="s">
        <v>865</v>
      </c>
      <c r="F6" s="957" t="s">
        <v>832</v>
      </c>
      <c r="G6" s="958"/>
      <c r="H6" s="957" t="s">
        <v>833</v>
      </c>
      <c r="I6" s="958"/>
      <c r="J6" s="959" t="s">
        <v>852</v>
      </c>
      <c r="K6" s="959" t="s">
        <v>851</v>
      </c>
      <c r="L6" s="957" t="s">
        <v>835</v>
      </c>
      <c r="M6" s="958"/>
      <c r="N6" s="961" t="s">
        <v>792</v>
      </c>
      <c r="O6" s="963" t="s">
        <v>865</v>
      </c>
      <c r="P6" s="256"/>
      <c r="Q6" s="792"/>
    </row>
    <row r="7" spans="1:17" s="167" customFormat="1" ht="65.25" customHeight="1">
      <c r="A7" s="971"/>
      <c r="B7" s="974"/>
      <c r="C7" s="960"/>
      <c r="D7" s="962"/>
      <c r="E7" s="960"/>
      <c r="F7" s="259" t="s">
        <v>794</v>
      </c>
      <c r="G7" s="327" t="s">
        <v>865</v>
      </c>
      <c r="H7" s="259" t="s">
        <v>794</v>
      </c>
      <c r="I7" s="327" t="s">
        <v>865</v>
      </c>
      <c r="J7" s="960"/>
      <c r="K7" s="960"/>
      <c r="L7" s="259" t="s">
        <v>794</v>
      </c>
      <c r="M7" s="327" t="s">
        <v>865</v>
      </c>
      <c r="N7" s="962"/>
      <c r="O7" s="964"/>
      <c r="P7" s="256"/>
      <c r="Q7" s="792"/>
    </row>
    <row r="8" spans="1:17" s="168" customFormat="1" ht="45" customHeight="1">
      <c r="A8" s="965" t="s">
        <v>868</v>
      </c>
      <c r="B8" s="738">
        <v>10</v>
      </c>
      <c r="C8" s="675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8" s="533">
        <f>D11+D30</f>
        <v>0</v>
      </c>
      <c r="E8" s="253">
        <f t="shared" ref="E8:M8" si="0">E11+E30</f>
        <v>0</v>
      </c>
      <c r="F8" s="305">
        <f t="shared" ref="F8" si="1">F11+F30</f>
        <v>0</v>
      </c>
      <c r="G8" s="253">
        <f t="shared" si="0"/>
        <v>0</v>
      </c>
      <c r="H8" s="253">
        <f t="shared" si="0"/>
        <v>0</v>
      </c>
      <c r="I8" s="253">
        <f t="shared" si="0"/>
        <v>0</v>
      </c>
      <c r="J8" s="253">
        <f t="shared" si="0"/>
        <v>0</v>
      </c>
      <c r="K8" s="253">
        <f t="shared" si="0"/>
        <v>0</v>
      </c>
      <c r="L8" s="253">
        <f t="shared" si="0"/>
        <v>0</v>
      </c>
      <c r="M8" s="253">
        <f t="shared" si="0"/>
        <v>0</v>
      </c>
      <c r="N8" s="253">
        <f>D8+F8+H8+L8</f>
        <v>0</v>
      </c>
      <c r="O8" s="254">
        <f>E8+G8+I8+J8+K8+M8</f>
        <v>0</v>
      </c>
      <c r="P8" s="257"/>
      <c r="Q8" s="792"/>
    </row>
    <row r="9" spans="1:17" ht="45" hidden="1" customHeight="1">
      <c r="A9" s="966"/>
      <c r="B9" s="747">
        <v>11</v>
      </c>
      <c r="C9" s="680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  <c r="D9" s="544">
        <f>D12+D31</f>
        <v>0</v>
      </c>
      <c r="E9" s="544">
        <f t="shared" ref="E9:M9" si="2">E12+E31</f>
        <v>0</v>
      </c>
      <c r="F9" s="544">
        <f t="shared" ref="F9" si="3">F12+F31</f>
        <v>0</v>
      </c>
      <c r="G9" s="544">
        <f t="shared" si="2"/>
        <v>0</v>
      </c>
      <c r="H9" s="544">
        <f t="shared" si="2"/>
        <v>0</v>
      </c>
      <c r="I9" s="544">
        <f t="shared" si="2"/>
        <v>0</v>
      </c>
      <c r="J9" s="544">
        <f t="shared" si="2"/>
        <v>0</v>
      </c>
      <c r="K9" s="544">
        <f t="shared" si="2"/>
        <v>0</v>
      </c>
      <c r="L9" s="544">
        <f t="shared" si="2"/>
        <v>0</v>
      </c>
      <c r="M9" s="544">
        <f t="shared" si="2"/>
        <v>0</v>
      </c>
      <c r="N9" s="544">
        <f>D9+F9+H9+L9</f>
        <v>0</v>
      </c>
      <c r="O9" s="545">
        <f>E9+G9+I9+J9+K9+M9</f>
        <v>0</v>
      </c>
      <c r="P9" s="183"/>
      <c r="Q9" s="788" t="s">
        <v>1136</v>
      </c>
    </row>
    <row r="10" spans="1:17" ht="21" customHeight="1">
      <c r="A10" s="750" t="s">
        <v>299</v>
      </c>
      <c r="B10" s="227"/>
      <c r="C10" s="955"/>
      <c r="D10" s="955"/>
      <c r="E10" s="955"/>
      <c r="F10" s="955"/>
      <c r="G10" s="955"/>
      <c r="H10" s="955"/>
      <c r="I10" s="955"/>
      <c r="J10" s="955"/>
      <c r="K10" s="955"/>
      <c r="L10" s="955"/>
      <c r="M10" s="955"/>
      <c r="N10" s="955"/>
      <c r="O10" s="956"/>
      <c r="P10" s="183"/>
    </row>
    <row r="11" spans="1:17" ht="45" customHeight="1">
      <c r="A11" s="981" t="s">
        <v>850</v>
      </c>
      <c r="B11" s="697">
        <v>20</v>
      </c>
      <c r="C11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11" s="230"/>
      <c r="E11" s="230"/>
      <c r="F11" s="306"/>
      <c r="G11" s="230"/>
      <c r="H11" s="230"/>
      <c r="I11" s="230"/>
      <c r="J11" s="230"/>
      <c r="K11" s="230"/>
      <c r="L11" s="230"/>
      <c r="M11" s="230"/>
      <c r="N11" s="230">
        <f>D11+F11+H11+L11</f>
        <v>0</v>
      </c>
      <c r="O11" s="169">
        <f>E11+G11+I11+J11+K11+M11</f>
        <v>0</v>
      </c>
      <c r="P11" s="183"/>
    </row>
    <row r="12" spans="1:17" ht="45" hidden="1" customHeight="1">
      <c r="A12" s="982"/>
      <c r="B12" s="697">
        <v>21</v>
      </c>
      <c r="C12" s="678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  <c r="D12" s="230"/>
      <c r="E12" s="230"/>
      <c r="F12" s="306"/>
      <c r="G12" s="230"/>
      <c r="H12" s="230"/>
      <c r="I12" s="230"/>
      <c r="J12" s="230"/>
      <c r="K12" s="230"/>
      <c r="L12" s="230"/>
      <c r="M12" s="230"/>
      <c r="N12" s="320">
        <f t="shared" ref="N12:N31" si="4">D12+F12+H12+L12</f>
        <v>0</v>
      </c>
      <c r="O12" s="308">
        <f t="shared" ref="O12:O31" si="5">E12+G12+I12+J12+K12+M12</f>
        <v>0</v>
      </c>
      <c r="P12" s="183"/>
      <c r="Q12" s="788" t="s">
        <v>1136</v>
      </c>
    </row>
    <row r="13" spans="1:17" hidden="1">
      <c r="A13" s="255"/>
      <c r="B13" s="697"/>
      <c r="C13" s="689" t="s">
        <v>1138</v>
      </c>
      <c r="D13" s="230"/>
      <c r="E13" s="230"/>
      <c r="F13" s="306"/>
      <c r="G13" s="230"/>
      <c r="H13" s="230"/>
      <c r="I13" s="230"/>
      <c r="J13" s="230"/>
      <c r="K13" s="230"/>
      <c r="L13" s="230"/>
      <c r="M13" s="230"/>
      <c r="N13" s="320">
        <f t="shared" si="4"/>
        <v>0</v>
      </c>
      <c r="O13" s="308">
        <f t="shared" si="5"/>
        <v>0</v>
      </c>
      <c r="P13" s="183"/>
      <c r="Q13" s="689" t="s">
        <v>1138</v>
      </c>
    </row>
    <row r="14" spans="1:17" hidden="1">
      <c r="A14" s="255"/>
      <c r="B14" s="697"/>
      <c r="C14" s="689" t="s">
        <v>1138</v>
      </c>
      <c r="D14" s="230"/>
      <c r="E14" s="230"/>
      <c r="F14" s="306"/>
      <c r="G14" s="230"/>
      <c r="H14" s="230"/>
      <c r="I14" s="230"/>
      <c r="J14" s="230"/>
      <c r="K14" s="230"/>
      <c r="L14" s="230"/>
      <c r="M14" s="230"/>
      <c r="N14" s="320">
        <f t="shared" si="4"/>
        <v>0</v>
      </c>
      <c r="O14" s="308">
        <f t="shared" si="5"/>
        <v>0</v>
      </c>
      <c r="P14" s="183"/>
      <c r="Q14" s="689" t="s">
        <v>1138</v>
      </c>
    </row>
    <row r="15" spans="1:17" hidden="1">
      <c r="A15" s="255"/>
      <c r="B15" s="697"/>
      <c r="C15" s="689" t="s">
        <v>1138</v>
      </c>
      <c r="D15" s="230"/>
      <c r="E15" s="230"/>
      <c r="F15" s="306"/>
      <c r="G15" s="230"/>
      <c r="H15" s="230"/>
      <c r="I15" s="230"/>
      <c r="J15" s="230"/>
      <c r="K15" s="230"/>
      <c r="L15" s="230"/>
      <c r="M15" s="230"/>
      <c r="N15" s="320">
        <f t="shared" si="4"/>
        <v>0</v>
      </c>
      <c r="O15" s="308">
        <f t="shared" si="5"/>
        <v>0</v>
      </c>
      <c r="P15" s="183"/>
      <c r="Q15" s="689" t="s">
        <v>1138</v>
      </c>
    </row>
    <row r="16" spans="1:17" hidden="1">
      <c r="A16" s="255"/>
      <c r="B16" s="697"/>
      <c r="C16" s="689" t="s">
        <v>1138</v>
      </c>
      <c r="D16" s="230"/>
      <c r="E16" s="230"/>
      <c r="F16" s="306"/>
      <c r="G16" s="230"/>
      <c r="H16" s="230"/>
      <c r="I16" s="230"/>
      <c r="J16" s="230"/>
      <c r="K16" s="230"/>
      <c r="L16" s="230"/>
      <c r="M16" s="230"/>
      <c r="N16" s="320">
        <f t="shared" si="4"/>
        <v>0</v>
      </c>
      <c r="O16" s="308">
        <f t="shared" si="5"/>
        <v>0</v>
      </c>
      <c r="P16" s="183"/>
      <c r="Q16" s="689" t="s">
        <v>1138</v>
      </c>
    </row>
    <row r="17" spans="1:17" hidden="1">
      <c r="A17" s="255"/>
      <c r="B17" s="697"/>
      <c r="C17" s="689" t="s">
        <v>1138</v>
      </c>
      <c r="D17" s="230"/>
      <c r="E17" s="230"/>
      <c r="F17" s="306"/>
      <c r="G17" s="230"/>
      <c r="H17" s="230"/>
      <c r="I17" s="230"/>
      <c r="J17" s="230"/>
      <c r="K17" s="230"/>
      <c r="L17" s="230"/>
      <c r="M17" s="230"/>
      <c r="N17" s="320">
        <f t="shared" si="4"/>
        <v>0</v>
      </c>
      <c r="O17" s="308">
        <f t="shared" si="5"/>
        <v>0</v>
      </c>
      <c r="P17" s="183"/>
      <c r="Q17" s="689" t="s">
        <v>1138</v>
      </c>
    </row>
    <row r="18" spans="1:17" hidden="1">
      <c r="A18" s="255"/>
      <c r="B18" s="697"/>
      <c r="C18" s="689" t="s">
        <v>1138</v>
      </c>
      <c r="D18" s="230"/>
      <c r="E18" s="230"/>
      <c r="F18" s="306"/>
      <c r="G18" s="230"/>
      <c r="H18" s="230"/>
      <c r="I18" s="230"/>
      <c r="J18" s="230"/>
      <c r="K18" s="230"/>
      <c r="L18" s="230"/>
      <c r="M18" s="230"/>
      <c r="N18" s="320">
        <f t="shared" si="4"/>
        <v>0</v>
      </c>
      <c r="O18" s="308">
        <f t="shared" si="5"/>
        <v>0</v>
      </c>
      <c r="P18" s="183"/>
      <c r="Q18" s="689" t="s">
        <v>1138</v>
      </c>
    </row>
    <row r="19" spans="1:17" hidden="1">
      <c r="A19" s="255"/>
      <c r="B19" s="697"/>
      <c r="C19" s="689" t="s">
        <v>1138</v>
      </c>
      <c r="D19" s="230"/>
      <c r="E19" s="230"/>
      <c r="F19" s="306"/>
      <c r="G19" s="230"/>
      <c r="H19" s="230"/>
      <c r="I19" s="230"/>
      <c r="J19" s="230"/>
      <c r="K19" s="230"/>
      <c r="L19" s="230"/>
      <c r="M19" s="230"/>
      <c r="N19" s="320">
        <f t="shared" si="4"/>
        <v>0</v>
      </c>
      <c r="O19" s="308">
        <f t="shared" si="5"/>
        <v>0</v>
      </c>
      <c r="P19" s="183"/>
      <c r="Q19" s="689" t="s">
        <v>1138</v>
      </c>
    </row>
    <row r="20" spans="1:17" hidden="1">
      <c r="A20" s="255"/>
      <c r="B20" s="697"/>
      <c r="C20" s="689" t="s">
        <v>1138</v>
      </c>
      <c r="D20" s="230"/>
      <c r="E20" s="230"/>
      <c r="F20" s="306"/>
      <c r="G20" s="230"/>
      <c r="H20" s="230"/>
      <c r="I20" s="230"/>
      <c r="J20" s="230"/>
      <c r="K20" s="230"/>
      <c r="L20" s="230"/>
      <c r="M20" s="230"/>
      <c r="N20" s="320">
        <f t="shared" si="4"/>
        <v>0</v>
      </c>
      <c r="O20" s="308">
        <f t="shared" si="5"/>
        <v>0</v>
      </c>
      <c r="P20" s="183"/>
      <c r="Q20" s="689" t="s">
        <v>1138</v>
      </c>
    </row>
    <row r="21" spans="1:17" hidden="1">
      <c r="A21" s="255"/>
      <c r="B21" s="697"/>
      <c r="C21" s="689" t="s">
        <v>1138</v>
      </c>
      <c r="D21" s="230"/>
      <c r="E21" s="230"/>
      <c r="F21" s="306"/>
      <c r="G21" s="230"/>
      <c r="H21" s="230"/>
      <c r="I21" s="230"/>
      <c r="J21" s="230"/>
      <c r="K21" s="230"/>
      <c r="L21" s="230"/>
      <c r="M21" s="230"/>
      <c r="N21" s="320">
        <f t="shared" si="4"/>
        <v>0</v>
      </c>
      <c r="O21" s="308">
        <f t="shared" si="5"/>
        <v>0</v>
      </c>
      <c r="P21" s="183"/>
      <c r="Q21" s="689" t="s">
        <v>1138</v>
      </c>
    </row>
    <row r="22" spans="1:17" hidden="1">
      <c r="A22" s="255"/>
      <c r="B22" s="697"/>
      <c r="C22" s="689" t="s">
        <v>1138</v>
      </c>
      <c r="D22" s="230"/>
      <c r="E22" s="230"/>
      <c r="F22" s="306"/>
      <c r="G22" s="230"/>
      <c r="H22" s="230"/>
      <c r="I22" s="230"/>
      <c r="J22" s="230"/>
      <c r="K22" s="230"/>
      <c r="L22" s="230"/>
      <c r="M22" s="230"/>
      <c r="N22" s="320">
        <f t="shared" si="4"/>
        <v>0</v>
      </c>
      <c r="O22" s="308">
        <f t="shared" si="5"/>
        <v>0</v>
      </c>
      <c r="P22" s="183"/>
      <c r="Q22" s="689" t="s">
        <v>1138</v>
      </c>
    </row>
    <row r="23" spans="1:17" hidden="1">
      <c r="A23" s="255"/>
      <c r="B23" s="697"/>
      <c r="C23" s="689" t="s">
        <v>1138</v>
      </c>
      <c r="D23" s="230"/>
      <c r="E23" s="230"/>
      <c r="F23" s="306"/>
      <c r="G23" s="230"/>
      <c r="H23" s="230"/>
      <c r="I23" s="230"/>
      <c r="J23" s="230"/>
      <c r="K23" s="230"/>
      <c r="L23" s="230"/>
      <c r="M23" s="230"/>
      <c r="N23" s="320">
        <f t="shared" si="4"/>
        <v>0</v>
      </c>
      <c r="O23" s="308">
        <f t="shared" si="5"/>
        <v>0</v>
      </c>
      <c r="P23" s="183"/>
      <c r="Q23" s="689" t="s">
        <v>1138</v>
      </c>
    </row>
    <row r="24" spans="1:17" hidden="1">
      <c r="A24" s="255"/>
      <c r="B24" s="697"/>
      <c r="C24" s="689" t="s">
        <v>1138</v>
      </c>
      <c r="D24" s="230"/>
      <c r="E24" s="230"/>
      <c r="F24" s="306"/>
      <c r="G24" s="230"/>
      <c r="H24" s="230"/>
      <c r="I24" s="230"/>
      <c r="J24" s="230"/>
      <c r="K24" s="230"/>
      <c r="L24" s="230"/>
      <c r="M24" s="230"/>
      <c r="N24" s="320">
        <f t="shared" si="4"/>
        <v>0</v>
      </c>
      <c r="O24" s="308">
        <f t="shared" si="5"/>
        <v>0</v>
      </c>
      <c r="P24" s="183"/>
      <c r="Q24" s="689" t="s">
        <v>1138</v>
      </c>
    </row>
    <row r="25" spans="1:17" hidden="1">
      <c r="A25" s="255"/>
      <c r="B25" s="697"/>
      <c r="C25" s="689" t="s">
        <v>1138</v>
      </c>
      <c r="D25" s="230"/>
      <c r="E25" s="230"/>
      <c r="F25" s="306"/>
      <c r="G25" s="230"/>
      <c r="H25" s="230"/>
      <c r="I25" s="230"/>
      <c r="J25" s="230"/>
      <c r="K25" s="230"/>
      <c r="L25" s="230"/>
      <c r="M25" s="230"/>
      <c r="N25" s="320">
        <f t="shared" si="4"/>
        <v>0</v>
      </c>
      <c r="O25" s="308">
        <f t="shared" si="5"/>
        <v>0</v>
      </c>
      <c r="P25" s="183"/>
      <c r="Q25" s="689" t="s">
        <v>1138</v>
      </c>
    </row>
    <row r="26" spans="1:17" hidden="1">
      <c r="A26" s="255"/>
      <c r="B26" s="697"/>
      <c r="C26" s="689" t="s">
        <v>1138</v>
      </c>
      <c r="D26" s="230"/>
      <c r="E26" s="230"/>
      <c r="F26" s="306"/>
      <c r="G26" s="230"/>
      <c r="H26" s="230"/>
      <c r="I26" s="230"/>
      <c r="J26" s="230"/>
      <c r="K26" s="230"/>
      <c r="L26" s="230"/>
      <c r="M26" s="230"/>
      <c r="N26" s="320">
        <f t="shared" si="4"/>
        <v>0</v>
      </c>
      <c r="O26" s="308">
        <f t="shared" si="5"/>
        <v>0</v>
      </c>
      <c r="P26" s="183"/>
      <c r="Q26" s="689" t="s">
        <v>1138</v>
      </c>
    </row>
    <row r="27" spans="1:17" hidden="1">
      <c r="A27" s="255"/>
      <c r="B27" s="697"/>
      <c r="C27" s="689" t="s">
        <v>1138</v>
      </c>
      <c r="D27" s="230"/>
      <c r="E27" s="230"/>
      <c r="F27" s="306"/>
      <c r="G27" s="230"/>
      <c r="H27" s="230"/>
      <c r="I27" s="230"/>
      <c r="J27" s="230"/>
      <c r="K27" s="230"/>
      <c r="L27" s="230"/>
      <c r="M27" s="230"/>
      <c r="N27" s="320">
        <f t="shared" si="4"/>
        <v>0</v>
      </c>
      <c r="O27" s="308">
        <f t="shared" si="5"/>
        <v>0</v>
      </c>
      <c r="P27" s="183"/>
      <c r="Q27" s="689" t="s">
        <v>1138</v>
      </c>
    </row>
    <row r="28" spans="1:17" hidden="1">
      <c r="A28" s="255"/>
      <c r="B28" s="697"/>
      <c r="C28" s="689" t="s">
        <v>1138</v>
      </c>
      <c r="D28" s="230"/>
      <c r="E28" s="230"/>
      <c r="F28" s="306"/>
      <c r="G28" s="230"/>
      <c r="H28" s="230"/>
      <c r="I28" s="230"/>
      <c r="J28" s="230"/>
      <c r="K28" s="230"/>
      <c r="L28" s="230"/>
      <c r="M28" s="230"/>
      <c r="N28" s="320">
        <f t="shared" si="4"/>
        <v>0</v>
      </c>
      <c r="O28" s="308">
        <f t="shared" si="5"/>
        <v>0</v>
      </c>
      <c r="P28" s="183"/>
      <c r="Q28" s="689" t="s">
        <v>1138</v>
      </c>
    </row>
    <row r="29" spans="1:17" hidden="1">
      <c r="A29" s="255"/>
      <c r="B29" s="697"/>
      <c r="C29" s="689" t="s">
        <v>1138</v>
      </c>
      <c r="D29" s="230"/>
      <c r="E29" s="230"/>
      <c r="F29" s="306"/>
      <c r="G29" s="230"/>
      <c r="H29" s="230"/>
      <c r="I29" s="230"/>
      <c r="J29" s="230"/>
      <c r="K29" s="230"/>
      <c r="L29" s="230"/>
      <c r="M29" s="230"/>
      <c r="N29" s="320">
        <f t="shared" si="4"/>
        <v>0</v>
      </c>
      <c r="O29" s="308">
        <f t="shared" si="5"/>
        <v>0</v>
      </c>
      <c r="P29" s="183"/>
      <c r="Q29" s="689" t="s">
        <v>1138</v>
      </c>
    </row>
    <row r="30" spans="1:17" ht="42" customHeight="1">
      <c r="A30" s="981" t="s">
        <v>278</v>
      </c>
      <c r="B30" s="698">
        <v>90</v>
      </c>
      <c r="C30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0" s="785"/>
      <c r="E30" s="785"/>
      <c r="F30" s="785"/>
      <c r="G30" s="785"/>
      <c r="H30" s="785"/>
      <c r="I30" s="785"/>
      <c r="J30" s="785"/>
      <c r="K30" s="785"/>
      <c r="L30" s="785"/>
      <c r="M30" s="785"/>
      <c r="N30" s="785">
        <f t="shared" si="4"/>
        <v>0</v>
      </c>
      <c r="O30" s="536">
        <f t="shared" si="5"/>
        <v>0</v>
      </c>
      <c r="P30" s="183"/>
    </row>
    <row r="31" spans="1:17" ht="42" hidden="1" customHeight="1">
      <c r="A31" s="983"/>
      <c r="B31" s="746">
        <v>91</v>
      </c>
      <c r="C31" s="674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>
        <f t="shared" si="4"/>
        <v>0</v>
      </c>
      <c r="O31" s="547">
        <f t="shared" si="5"/>
        <v>0</v>
      </c>
      <c r="P31" s="183"/>
      <c r="Q31" s="788" t="s">
        <v>1136</v>
      </c>
    </row>
    <row r="32" spans="1:17" ht="18.75" customHeight="1">
      <c r="A32" s="831"/>
      <c r="B32" s="170"/>
      <c r="C32" s="832"/>
      <c r="D32" s="833"/>
      <c r="E32" s="833"/>
      <c r="F32" s="833"/>
      <c r="G32" s="833"/>
      <c r="H32" s="833"/>
      <c r="I32" s="833"/>
      <c r="J32" s="833"/>
      <c r="K32" s="833"/>
      <c r="L32" s="833"/>
      <c r="M32" s="833"/>
      <c r="N32" s="833"/>
      <c r="O32" s="833"/>
      <c r="P32" s="170"/>
      <c r="Q32" s="793"/>
    </row>
    <row r="33" spans="1:17" ht="18.75" customHeight="1">
      <c r="A33" s="171"/>
      <c r="B33" s="170"/>
      <c r="C33" s="681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793"/>
    </row>
    <row r="34" spans="1:17" ht="18.75" customHeight="1">
      <c r="A34" s="171"/>
      <c r="B34" s="170"/>
      <c r="C34" s="681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793"/>
    </row>
    <row r="35" spans="1:17" s="171" customFormat="1" ht="18.75" customHeight="1">
      <c r="C35" s="682"/>
      <c r="Q35" s="794"/>
    </row>
    <row r="36" spans="1:17" ht="18.75" customHeight="1">
      <c r="B36" s="167"/>
    </row>
    <row r="38" spans="1:17" ht="18.75" customHeight="1"/>
    <row r="39" spans="1:17" ht="18.75" customHeight="1"/>
    <row r="40" spans="1:17" ht="18.75" customHeight="1"/>
    <row r="41" spans="1:17" ht="18.75" customHeight="1"/>
    <row r="42" spans="1:17" ht="18.75" customHeight="1"/>
    <row r="43" spans="1:17" ht="18.75" customHeight="1"/>
    <row r="44" spans="1:17" ht="18.75" customHeight="1"/>
    <row r="45" spans="1:17" ht="18.75" customHeight="1"/>
  </sheetData>
  <autoFilter ref="Q1:Q45">
    <filterColumn colId="0">
      <filters blank="1"/>
    </filterColumn>
  </autoFilter>
  <mergeCells count="20">
    <mergeCell ref="A30:A31"/>
    <mergeCell ref="A3:O3"/>
    <mergeCell ref="A5:A7"/>
    <mergeCell ref="B5:B7"/>
    <mergeCell ref="C5:C7"/>
    <mergeCell ref="D5:E5"/>
    <mergeCell ref="N5:O5"/>
    <mergeCell ref="D6:D7"/>
    <mergeCell ref="F5:M5"/>
    <mergeCell ref="N6:N7"/>
    <mergeCell ref="O6:O7"/>
    <mergeCell ref="E6:E7"/>
    <mergeCell ref="H6:I6"/>
    <mergeCell ref="J6:J7"/>
    <mergeCell ref="K6:K7"/>
    <mergeCell ref="L6:M6"/>
    <mergeCell ref="F6:G6"/>
    <mergeCell ref="A8:A9"/>
    <mergeCell ref="A11:A12"/>
    <mergeCell ref="C10:O10"/>
  </mergeCells>
  <pageMargins left="0.42" right="0.23622047244094491" top="0.56000000000000005" bottom="0.23622047244094491" header="0.37" footer="0.15748031496062992"/>
  <pageSetup paperSize="9" scale="6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 filterMode="1">
    <tabColor theme="8" tint="0.79998168889431442"/>
    <pageSetUpPr fitToPage="1"/>
  </sheetPr>
  <dimension ref="A1:K21"/>
  <sheetViews>
    <sheetView topLeftCell="A10" zoomScale="75" zoomScaleNormal="75" workbookViewId="0">
      <selection activeCell="I53" sqref="I53"/>
    </sheetView>
  </sheetViews>
  <sheetFormatPr defaultColWidth="9.140625" defaultRowHeight="15.75"/>
  <cols>
    <col min="1" max="1" width="25.5703125" style="145" customWidth="1"/>
    <col min="2" max="2" width="8.140625" style="145" customWidth="1"/>
    <col min="3" max="3" width="8" style="145" hidden="1" customWidth="1"/>
    <col min="4" max="4" width="21.7109375" style="145" customWidth="1"/>
    <col min="5" max="5" width="18.28515625" style="145" customWidth="1"/>
    <col min="6" max="6" width="21.7109375" style="145" customWidth="1"/>
    <col min="7" max="7" width="18.42578125" style="145" customWidth="1"/>
    <col min="8" max="8" width="21.7109375" style="145" hidden="1" customWidth="1"/>
    <col min="9" max="9" width="18.28515625" style="145" hidden="1" customWidth="1"/>
    <col min="10" max="10" width="5.28515625" style="145" customWidth="1"/>
    <col min="11" max="11" width="19.7109375" style="145" customWidth="1"/>
    <col min="12" max="16384" width="9.140625" style="145"/>
  </cols>
  <sheetData>
    <row r="1" spans="1:10" hidden="1"/>
    <row r="2" spans="1:10" s="146" customFormat="1" ht="24" hidden="1" customHeight="1">
      <c r="A2" s="317"/>
      <c r="B2" s="317"/>
      <c r="C2" s="317"/>
      <c r="D2" s="317"/>
      <c r="E2" s="317"/>
      <c r="F2" s="317"/>
    </row>
    <row r="3" spans="1:10" s="146" customFormat="1" ht="24" hidden="1" customHeight="1">
      <c r="A3" s="317"/>
      <c r="B3" s="317"/>
      <c r="C3" s="317"/>
      <c r="D3" s="317"/>
      <c r="E3" s="317"/>
      <c r="F3" s="317"/>
    </row>
    <row r="4" spans="1:10" s="146" customFormat="1" ht="24" hidden="1" customHeight="1">
      <c r="A4" s="317"/>
      <c r="B4" s="317"/>
      <c r="C4" s="317"/>
      <c r="D4" s="317"/>
      <c r="E4" s="317"/>
      <c r="F4" s="317"/>
    </row>
    <row r="5" spans="1:10" s="146" customFormat="1" ht="24" hidden="1" customHeight="1">
      <c r="A5" s="317"/>
      <c r="B5" s="317"/>
      <c r="C5" s="317"/>
      <c r="D5" s="317"/>
      <c r="E5" s="317"/>
      <c r="F5" s="317"/>
    </row>
    <row r="6" spans="1:10" s="146" customFormat="1" ht="24" hidden="1" customHeight="1">
      <c r="A6" s="317"/>
      <c r="B6" s="317"/>
      <c r="C6" s="317"/>
      <c r="D6" s="317"/>
      <c r="E6" s="317"/>
      <c r="F6" s="317"/>
    </row>
    <row r="7" spans="1:10" s="146" customFormat="1" ht="24" hidden="1" customHeight="1">
      <c r="A7" s="317"/>
      <c r="B7" s="317"/>
      <c r="C7" s="317"/>
      <c r="D7" s="317"/>
      <c r="E7" s="317"/>
      <c r="F7" s="317"/>
    </row>
    <row r="8" spans="1:10" s="146" customFormat="1" ht="24" hidden="1" customHeight="1">
      <c r="A8" s="317"/>
      <c r="B8" s="317"/>
      <c r="C8" s="317"/>
      <c r="D8" s="317"/>
      <c r="E8" s="317"/>
      <c r="F8" s="317"/>
    </row>
    <row r="9" spans="1:10" s="146" customFormat="1" ht="24" hidden="1" customHeight="1">
      <c r="A9" s="317"/>
      <c r="B9" s="317"/>
      <c r="C9" s="317"/>
      <c r="D9" s="317"/>
      <c r="E9" s="317"/>
      <c r="F9" s="317"/>
    </row>
    <row r="10" spans="1:10" s="146" customFormat="1" ht="12" customHeight="1">
      <c r="A10" s="317"/>
      <c r="B10" s="317"/>
      <c r="C10" s="317"/>
      <c r="D10" s="317"/>
      <c r="E10" s="317"/>
      <c r="F10" s="317"/>
    </row>
    <row r="12" spans="1:10">
      <c r="G12" s="163" t="s">
        <v>302</v>
      </c>
      <c r="I12" s="163" t="s">
        <v>302</v>
      </c>
    </row>
    <row r="13" spans="1:10" s="165" customFormat="1" ht="60" customHeight="1">
      <c r="A13" s="989" t="s">
        <v>796</v>
      </c>
      <c r="B13" s="989"/>
      <c r="C13" s="989"/>
      <c r="D13" s="989"/>
      <c r="E13" s="989"/>
      <c r="F13" s="989"/>
      <c r="G13" s="989"/>
      <c r="H13" s="989"/>
      <c r="I13" s="989"/>
    </row>
    <row r="14" spans="1:10" ht="20.100000000000001" customHeight="1">
      <c r="A14" s="810" t="s">
        <v>14</v>
      </c>
    </row>
    <row r="15" spans="1:10" ht="15.75" customHeight="1">
      <c r="A15" s="994" t="s">
        <v>300</v>
      </c>
      <c r="B15" s="978"/>
      <c r="C15" s="972" t="s">
        <v>1121</v>
      </c>
      <c r="D15" s="977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15" s="978"/>
      <c r="F15" s="977" t="str">
        <f>"на 31 декабря " &amp; YEAR('Общие сведения'!$D$2)-1 &amp; " г."</f>
        <v>на 31 декабря 2025 г.</v>
      </c>
      <c r="G15" s="978"/>
      <c r="H15" s="990" t="str">
        <f>"на 31 декабря " &amp; YEAR('Общие сведения'!$D$2)-2 &amp; " г."</f>
        <v>на 31 декабря 2024 г.</v>
      </c>
      <c r="I15" s="991"/>
      <c r="J15" s="183"/>
    </row>
    <row r="16" spans="1:10" ht="63" customHeight="1">
      <c r="A16" s="995"/>
      <c r="B16" s="996"/>
      <c r="C16" s="974"/>
      <c r="D16" s="260" t="s">
        <v>869</v>
      </c>
      <c r="E16" s="260" t="s">
        <v>797</v>
      </c>
      <c r="F16" s="553" t="s">
        <v>869</v>
      </c>
      <c r="G16" s="260" t="s">
        <v>797</v>
      </c>
      <c r="H16" s="549" t="s">
        <v>869</v>
      </c>
      <c r="I16" s="550" t="s">
        <v>797</v>
      </c>
      <c r="J16" s="183"/>
    </row>
    <row r="17" spans="1:11" s="146" customFormat="1" ht="21" hidden="1" customHeight="1">
      <c r="A17" s="695" t="s">
        <v>1121</v>
      </c>
      <c r="B17" s="317"/>
      <c r="C17" s="317"/>
      <c r="D17" s="694" t="s">
        <v>1122</v>
      </c>
      <c r="E17" s="694" t="s">
        <v>1123</v>
      </c>
      <c r="F17" s="694" t="s">
        <v>1124</v>
      </c>
      <c r="G17" s="694" t="s">
        <v>1125</v>
      </c>
      <c r="K17" s="749" t="s">
        <v>1139</v>
      </c>
    </row>
    <row r="18" spans="1:11" ht="87.75" customHeight="1">
      <c r="A18" s="992" t="s">
        <v>853</v>
      </c>
      <c r="B18" s="993"/>
      <c r="C18" s="699">
        <v>10</v>
      </c>
      <c r="D18" s="304"/>
      <c r="E18" s="304"/>
      <c r="F18" s="304"/>
      <c r="G18" s="304"/>
      <c r="H18" s="552"/>
      <c r="I18" s="551"/>
      <c r="J18" s="183"/>
    </row>
    <row r="19" spans="1:11" ht="15.75" hidden="1" customHeight="1">
      <c r="A19" s="966" t="s">
        <v>318</v>
      </c>
      <c r="B19" s="984"/>
      <c r="C19" s="984"/>
      <c r="D19" s="984"/>
      <c r="E19" s="984"/>
      <c r="F19" s="984"/>
      <c r="G19" s="984"/>
      <c r="H19" s="984"/>
      <c r="I19" s="985"/>
      <c r="K19" s="689" t="s">
        <v>1138</v>
      </c>
    </row>
    <row r="20" spans="1:11" ht="15.75" hidden="1" customHeight="1">
      <c r="A20" s="986"/>
      <c r="B20" s="987"/>
      <c r="C20" s="176"/>
      <c r="D20" s="275"/>
      <c r="E20" s="275"/>
      <c r="F20" s="275"/>
      <c r="G20" s="275"/>
      <c r="H20" s="275"/>
      <c r="I20" s="276"/>
      <c r="K20" s="689" t="s">
        <v>1138</v>
      </c>
    </row>
    <row r="21" spans="1:11" s="173" customFormat="1" ht="23.25" customHeight="1">
      <c r="A21" s="143"/>
      <c r="B21" s="172"/>
      <c r="C21" s="988"/>
      <c r="D21" s="988"/>
      <c r="E21" s="988"/>
    </row>
  </sheetData>
  <autoFilter ref="K17:K20">
    <filterColumn colId="0">
      <filters blank="1"/>
    </filterColumn>
  </autoFilter>
  <mergeCells count="10">
    <mergeCell ref="A19:I19"/>
    <mergeCell ref="A20:B20"/>
    <mergeCell ref="C21:E21"/>
    <mergeCell ref="A13:I13"/>
    <mergeCell ref="D15:E15"/>
    <mergeCell ref="F15:G15"/>
    <mergeCell ref="H15:I15"/>
    <mergeCell ref="A18:B18"/>
    <mergeCell ref="A15:B16"/>
    <mergeCell ref="C15:C16"/>
  </mergeCells>
  <pageMargins left="0.7" right="0.7" top="0.75" bottom="0.75" header="0.3" footer="0.3"/>
  <pageSetup paperSize="9" scale="8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 filterMode="1">
    <tabColor theme="8" tint="0.79998168889431442"/>
    <pageSetUpPr fitToPage="1"/>
  </sheetPr>
  <dimension ref="A1:Q49"/>
  <sheetViews>
    <sheetView zoomScale="75" zoomScaleNormal="75" workbookViewId="0">
      <selection activeCell="I53" sqref="I53"/>
    </sheetView>
  </sheetViews>
  <sheetFormatPr defaultColWidth="9.140625" defaultRowHeight="15.75"/>
  <cols>
    <col min="1" max="1" width="30.7109375" style="145" customWidth="1"/>
    <col min="2" max="2" width="8.85546875" style="145" hidden="1" customWidth="1"/>
    <col min="3" max="3" width="14.28515625" style="282" customWidth="1"/>
    <col min="4" max="4" width="20.28515625" style="145" customWidth="1"/>
    <col min="5" max="5" width="19.5703125" style="145" customWidth="1"/>
    <col min="6" max="6" width="15.7109375" style="145" customWidth="1"/>
    <col min="7" max="7" width="14.7109375" style="145" customWidth="1"/>
    <col min="8" max="8" width="15.28515625" style="145" customWidth="1"/>
    <col min="9" max="9" width="14.7109375" style="145" customWidth="1"/>
    <col min="10" max="11" width="12.7109375" style="145" customWidth="1"/>
    <col min="12" max="12" width="18.28515625" style="145" customWidth="1"/>
    <col min="13" max="13" width="15.5703125" style="145" customWidth="1"/>
    <col min="14" max="14" width="21.140625" style="145" customWidth="1"/>
    <col min="15" max="15" width="20.28515625" style="145" customWidth="1"/>
    <col min="16" max="16" width="5" style="145" customWidth="1"/>
    <col min="17" max="17" width="16.42578125" style="788" customWidth="1"/>
    <col min="18" max="16384" width="9.140625" style="145"/>
  </cols>
  <sheetData>
    <row r="1" spans="1:17" ht="12.75" customHeight="1">
      <c r="A1" s="238"/>
      <c r="B1" s="238"/>
      <c r="C1" s="684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</row>
    <row r="2" spans="1:17" s="146" customFormat="1" ht="24" hidden="1" customHeight="1">
      <c r="A2" s="239"/>
      <c r="B2" s="153"/>
      <c r="C2" s="247"/>
      <c r="D2" s="240"/>
      <c r="E2" s="160"/>
      <c r="F2" s="241" t="s">
        <v>12</v>
      </c>
      <c r="G2" s="239"/>
      <c r="H2" s="239"/>
      <c r="I2" s="239"/>
      <c r="J2" s="239"/>
      <c r="K2" s="239"/>
      <c r="L2" s="239"/>
      <c r="M2" s="239"/>
      <c r="N2" s="239"/>
      <c r="O2" s="239"/>
    </row>
    <row r="3" spans="1:17" s="146" customFormat="1" ht="24" hidden="1" customHeight="1">
      <c r="A3" s="239"/>
      <c r="B3" s="153"/>
      <c r="C3" s="247"/>
      <c r="D3" s="239"/>
      <c r="E3" s="242"/>
      <c r="F3" s="243" t="s">
        <v>13</v>
      </c>
      <c r="G3" s="239"/>
      <c r="H3" s="239"/>
      <c r="I3" s="239"/>
      <c r="J3" s="239"/>
      <c r="K3" s="239"/>
      <c r="L3" s="239"/>
      <c r="M3" s="239"/>
      <c r="N3" s="239"/>
      <c r="O3" s="239"/>
    </row>
    <row r="4" spans="1:17" s="146" customFormat="1" ht="24" hidden="1" customHeight="1">
      <c r="A4" s="239"/>
      <c r="B4" s="153"/>
      <c r="C4" s="247"/>
      <c r="D4" s="239"/>
      <c r="E4" s="242" t="s">
        <v>280</v>
      </c>
      <c r="F4" s="243"/>
      <c r="G4" s="239"/>
      <c r="H4" s="239"/>
      <c r="I4" s="239"/>
      <c r="J4" s="239"/>
      <c r="K4" s="239"/>
      <c r="L4" s="239"/>
      <c r="M4" s="239"/>
      <c r="N4" s="239"/>
      <c r="O4" s="239"/>
    </row>
    <row r="5" spans="1:17" s="146" customFormat="1" ht="24" hidden="1" customHeight="1">
      <c r="A5" s="154" t="s">
        <v>281</v>
      </c>
      <c r="B5" s="239"/>
      <c r="C5" s="153"/>
      <c r="D5" s="154"/>
      <c r="E5" s="242" t="s">
        <v>282</v>
      </c>
      <c r="F5" s="243"/>
      <c r="G5" s="239"/>
      <c r="H5" s="239"/>
      <c r="I5" s="239"/>
      <c r="J5" s="239"/>
      <c r="K5" s="239"/>
      <c r="L5" s="239"/>
      <c r="M5" s="239"/>
      <c r="N5" s="239"/>
      <c r="O5" s="239"/>
    </row>
    <row r="6" spans="1:17" s="146" customFormat="1" ht="24" hidden="1" customHeight="1">
      <c r="A6" s="155" t="s">
        <v>283</v>
      </c>
      <c r="B6" s="239"/>
      <c r="C6" s="247"/>
      <c r="D6" s="244"/>
      <c r="E6" s="242" t="s">
        <v>284</v>
      </c>
      <c r="F6" s="243"/>
      <c r="G6" s="239"/>
      <c r="H6" s="239"/>
      <c r="I6" s="239"/>
      <c r="J6" s="239"/>
      <c r="K6" s="239"/>
      <c r="L6" s="239"/>
      <c r="M6" s="239"/>
      <c r="N6" s="239"/>
      <c r="O6" s="239"/>
    </row>
    <row r="7" spans="1:17" s="146" customFormat="1" ht="24" hidden="1" customHeight="1">
      <c r="A7" s="154" t="s">
        <v>285</v>
      </c>
      <c r="B7" s="239"/>
      <c r="C7" s="153"/>
      <c r="D7" s="154"/>
      <c r="E7" s="242" t="s">
        <v>286</v>
      </c>
      <c r="F7" s="243"/>
      <c r="G7" s="239"/>
      <c r="H7" s="239"/>
      <c r="I7" s="239"/>
      <c r="J7" s="239"/>
      <c r="K7" s="239"/>
      <c r="L7" s="239"/>
      <c r="M7" s="239"/>
      <c r="N7" s="239"/>
      <c r="O7" s="239"/>
    </row>
    <row r="8" spans="1:17" s="146" customFormat="1" ht="24" hidden="1" customHeight="1">
      <c r="A8" s="154" t="s">
        <v>287</v>
      </c>
      <c r="B8" s="239"/>
      <c r="C8" s="247"/>
      <c r="D8" s="244"/>
      <c r="E8" s="242"/>
      <c r="F8" s="243"/>
      <c r="G8" s="239"/>
      <c r="H8" s="239"/>
      <c r="I8" s="239"/>
      <c r="J8" s="239"/>
      <c r="K8" s="239"/>
      <c r="L8" s="239"/>
      <c r="M8" s="239"/>
      <c r="N8" s="239"/>
      <c r="O8" s="239"/>
    </row>
    <row r="9" spans="1:17" s="146" customFormat="1" ht="24" hidden="1" customHeight="1">
      <c r="A9" s="245"/>
      <c r="B9" s="239"/>
      <c r="C9" s="685"/>
      <c r="D9" s="239"/>
      <c r="E9" s="242" t="s">
        <v>288</v>
      </c>
      <c r="F9" s="243"/>
      <c r="G9" s="239"/>
      <c r="H9" s="239"/>
      <c r="I9" s="239"/>
      <c r="J9" s="239"/>
      <c r="K9" s="239"/>
      <c r="L9" s="239"/>
      <c r="M9" s="239"/>
      <c r="N9" s="239"/>
      <c r="O9" s="239"/>
    </row>
    <row r="10" spans="1:17" s="146" customFormat="1" ht="24" hidden="1" customHeight="1">
      <c r="A10" s="155" t="s">
        <v>14</v>
      </c>
      <c r="B10" s="239"/>
      <c r="C10" s="247"/>
      <c r="D10" s="244"/>
      <c r="E10" s="242" t="s">
        <v>289</v>
      </c>
      <c r="F10" s="246">
        <v>384</v>
      </c>
      <c r="G10" s="239"/>
      <c r="H10" s="239"/>
      <c r="I10" s="239"/>
      <c r="J10" s="239"/>
      <c r="K10" s="239"/>
      <c r="L10" s="239"/>
      <c r="M10" s="239"/>
      <c r="N10" s="239"/>
      <c r="O10" s="239"/>
    </row>
    <row r="11" spans="1:17" s="146" customFormat="1" ht="24" hidden="1" customHeight="1">
      <c r="A11" s="155" t="s">
        <v>290</v>
      </c>
      <c r="B11" s="239"/>
      <c r="C11" s="247"/>
      <c r="D11" s="160"/>
      <c r="E11" s="160"/>
      <c r="F11" s="248"/>
      <c r="G11" s="239"/>
      <c r="H11" s="239"/>
      <c r="I11" s="239"/>
      <c r="J11" s="239"/>
      <c r="K11" s="239"/>
      <c r="L11" s="239"/>
      <c r="M11" s="239"/>
      <c r="N11" s="239"/>
      <c r="O11" s="239"/>
    </row>
    <row r="12" spans="1:17">
      <c r="A12" s="325"/>
      <c r="B12" s="325"/>
      <c r="C12" s="686"/>
      <c r="D12" s="325"/>
      <c r="E12" s="325"/>
      <c r="F12" s="325"/>
      <c r="G12" s="325"/>
      <c r="H12" s="325"/>
      <c r="I12" s="238"/>
      <c r="J12" s="238"/>
      <c r="K12" s="238"/>
      <c r="L12" s="238"/>
      <c r="M12" s="238"/>
      <c r="N12" s="238"/>
      <c r="O12" s="249" t="s">
        <v>303</v>
      </c>
    </row>
    <row r="13" spans="1:17" s="165" customFormat="1" ht="46.5" customHeight="1">
      <c r="A13" s="997" t="s">
        <v>304</v>
      </c>
      <c r="B13" s="997"/>
      <c r="C13" s="997"/>
      <c r="D13" s="997"/>
      <c r="E13" s="997"/>
      <c r="F13" s="997"/>
      <c r="G13" s="997"/>
      <c r="H13" s="997"/>
      <c r="I13" s="997"/>
      <c r="J13" s="997"/>
      <c r="K13" s="997"/>
      <c r="L13" s="997"/>
      <c r="M13" s="997"/>
      <c r="N13" s="997"/>
      <c r="O13" s="997"/>
      <c r="Q13" s="799"/>
    </row>
    <row r="14" spans="1:17" ht="10.5" customHeight="1">
      <c r="A14" s="250"/>
      <c r="B14" s="250"/>
      <c r="C14" s="677"/>
      <c r="D14" s="250"/>
      <c r="E14" s="250"/>
      <c r="F14" s="250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7" ht="19.5">
      <c r="A15" s="998" t="s">
        <v>305</v>
      </c>
      <c r="B15" s="998"/>
      <c r="C15" s="998"/>
      <c r="D15" s="998"/>
      <c r="E15" s="998"/>
      <c r="F15" s="998"/>
      <c r="G15" s="998"/>
      <c r="H15" s="998"/>
      <c r="I15" s="998"/>
      <c r="J15" s="998"/>
      <c r="K15" s="998"/>
      <c r="L15" s="998"/>
      <c r="M15" s="998"/>
      <c r="N15" s="998"/>
      <c r="O15" s="998"/>
    </row>
    <row r="16" spans="1:17" ht="20.100000000000001" customHeight="1">
      <c r="A16" s="810" t="s">
        <v>14</v>
      </c>
      <c r="B16" s="238"/>
      <c r="C16" s="684"/>
      <c r="D16" s="238"/>
      <c r="E16" s="238"/>
      <c r="F16" s="238"/>
      <c r="G16" s="238"/>
      <c r="H16" s="238"/>
      <c r="I16" s="238"/>
      <c r="J16" s="238"/>
      <c r="K16" s="238"/>
      <c r="L16" s="252"/>
      <c r="M16" s="252"/>
      <c r="N16" s="238"/>
      <c r="O16" s="238"/>
    </row>
    <row r="17" spans="1:17" s="168" customFormat="1" ht="15.75" customHeight="1">
      <c r="A17" s="999" t="s">
        <v>0</v>
      </c>
      <c r="B17" s="972" t="s">
        <v>1121</v>
      </c>
      <c r="C17" s="1002" t="s">
        <v>293</v>
      </c>
      <c r="D17" s="977" t="s">
        <v>294</v>
      </c>
      <c r="E17" s="978"/>
      <c r="F17" s="1010" t="s">
        <v>295</v>
      </c>
      <c r="G17" s="1010"/>
      <c r="H17" s="1010"/>
      <c r="I17" s="1010"/>
      <c r="J17" s="1010"/>
      <c r="K17" s="1010"/>
      <c r="L17" s="1010"/>
      <c r="M17" s="1011"/>
      <c r="N17" s="1004" t="s">
        <v>296</v>
      </c>
      <c r="O17" s="1005"/>
      <c r="Q17" s="792"/>
    </row>
    <row r="18" spans="1:17" s="168" customFormat="1" ht="47.25" customHeight="1">
      <c r="A18" s="1000"/>
      <c r="B18" s="973"/>
      <c r="C18" s="1003"/>
      <c r="D18" s="961" t="s">
        <v>792</v>
      </c>
      <c r="E18" s="961" t="s">
        <v>793</v>
      </c>
      <c r="F18" s="1008" t="s">
        <v>832</v>
      </c>
      <c r="G18" s="1009"/>
      <c r="H18" s="1008" t="s">
        <v>836</v>
      </c>
      <c r="I18" s="1009"/>
      <c r="J18" s="961" t="s">
        <v>852</v>
      </c>
      <c r="K18" s="961" t="s">
        <v>854</v>
      </c>
      <c r="L18" s="1008" t="s">
        <v>835</v>
      </c>
      <c r="M18" s="1009"/>
      <c r="N18" s="961" t="s">
        <v>792</v>
      </c>
      <c r="O18" s="1006" t="s">
        <v>793</v>
      </c>
      <c r="Q18" s="792"/>
    </row>
    <row r="19" spans="1:17" s="168" customFormat="1" ht="81.599999999999994" customHeight="1">
      <c r="A19" s="1001"/>
      <c r="B19" s="974"/>
      <c r="C19" s="962"/>
      <c r="D19" s="962"/>
      <c r="E19" s="962"/>
      <c r="F19" s="259" t="s">
        <v>794</v>
      </c>
      <c r="G19" s="321" t="s">
        <v>867</v>
      </c>
      <c r="H19" s="259" t="s">
        <v>794</v>
      </c>
      <c r="I19" s="259" t="s">
        <v>867</v>
      </c>
      <c r="J19" s="962"/>
      <c r="K19" s="962"/>
      <c r="L19" s="259" t="s">
        <v>792</v>
      </c>
      <c r="M19" s="321" t="s">
        <v>793</v>
      </c>
      <c r="N19" s="962"/>
      <c r="O19" s="1007"/>
      <c r="Q19" s="792"/>
    </row>
    <row r="20" spans="1:17" s="146" customFormat="1" ht="17.25" hidden="1" customHeight="1">
      <c r="A20" s="754" t="s">
        <v>1121</v>
      </c>
      <c r="B20" s="755"/>
      <c r="C20" s="756"/>
      <c r="D20" s="740" t="s">
        <v>1122</v>
      </c>
      <c r="E20" s="740" t="s">
        <v>1123</v>
      </c>
      <c r="F20" s="740" t="s">
        <v>1124</v>
      </c>
      <c r="G20" s="740" t="s">
        <v>1125</v>
      </c>
      <c r="H20" s="740" t="s">
        <v>1126</v>
      </c>
      <c r="I20" s="740" t="s">
        <v>1127</v>
      </c>
      <c r="J20" s="740" t="s">
        <v>1128</v>
      </c>
      <c r="K20" s="740" t="s">
        <v>1129</v>
      </c>
      <c r="L20" s="740" t="s">
        <v>1130</v>
      </c>
      <c r="M20" s="740" t="s">
        <v>1131</v>
      </c>
      <c r="N20" s="740" t="s">
        <v>1132</v>
      </c>
      <c r="O20" s="753" t="s">
        <v>1133</v>
      </c>
      <c r="Q20" s="749" t="s">
        <v>1137</v>
      </c>
    </row>
    <row r="21" spans="1:17" s="168" customFormat="1" ht="50.25" customHeight="1">
      <c r="A21" s="1014" t="s">
        <v>799</v>
      </c>
      <c r="B21" s="700">
        <v>10</v>
      </c>
      <c r="C21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1" s="261">
        <f t="shared" ref="D21:O22" si="0">D25+D27+D29+D31+D33</f>
        <v>0</v>
      </c>
      <c r="E21" s="261">
        <f t="shared" si="0"/>
        <v>0</v>
      </c>
      <c r="F21" s="261">
        <f t="shared" si="0"/>
        <v>0</v>
      </c>
      <c r="G21" s="261">
        <f t="shared" si="0"/>
        <v>0</v>
      </c>
      <c r="H21" s="261">
        <f t="shared" si="0"/>
        <v>0</v>
      </c>
      <c r="I21" s="261">
        <f t="shared" si="0"/>
        <v>0</v>
      </c>
      <c r="J21" s="261">
        <f t="shared" si="0"/>
        <v>0</v>
      </c>
      <c r="K21" s="261">
        <f t="shared" ref="K21" si="1">K25+K27+K29+K31+K33</f>
        <v>0</v>
      </c>
      <c r="L21" s="261">
        <f t="shared" si="0"/>
        <v>0</v>
      </c>
      <c r="M21" s="261">
        <f t="shared" si="0"/>
        <v>0</v>
      </c>
      <c r="N21" s="261">
        <f t="shared" si="0"/>
        <v>0</v>
      </c>
      <c r="O21" s="262">
        <f t="shared" si="0"/>
        <v>0</v>
      </c>
      <c r="Q21" s="792"/>
    </row>
    <row r="22" spans="1:17" ht="39.950000000000003" hidden="1" customHeight="1">
      <c r="A22" s="1015"/>
      <c r="B22" s="701">
        <v>11</v>
      </c>
      <c r="C22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2" s="556">
        <f t="shared" si="0"/>
        <v>0</v>
      </c>
      <c r="E22" s="556">
        <f t="shared" si="0"/>
        <v>0</v>
      </c>
      <c r="F22" s="261">
        <f t="shared" si="0"/>
        <v>0</v>
      </c>
      <c r="G22" s="261">
        <f t="shared" si="0"/>
        <v>0</v>
      </c>
      <c r="H22" s="261">
        <f t="shared" si="0"/>
        <v>0</v>
      </c>
      <c r="I22" s="261">
        <f t="shared" si="0"/>
        <v>0</v>
      </c>
      <c r="J22" s="261">
        <f t="shared" si="0"/>
        <v>0</v>
      </c>
      <c r="K22" s="261">
        <f t="shared" ref="K22" si="2">K26+K28+K30+K32+K34</f>
        <v>0</v>
      </c>
      <c r="L22" s="261">
        <f t="shared" si="0"/>
        <v>0</v>
      </c>
      <c r="M22" s="261">
        <f t="shared" si="0"/>
        <v>0</v>
      </c>
      <c r="N22" s="261">
        <f t="shared" si="0"/>
        <v>0</v>
      </c>
      <c r="O22" s="262">
        <f t="shared" si="0"/>
        <v>0</v>
      </c>
      <c r="Q22" s="788" t="s">
        <v>1136</v>
      </c>
    </row>
    <row r="23" spans="1:17" ht="24.95" customHeight="1">
      <c r="A23" s="263" t="s">
        <v>306</v>
      </c>
      <c r="B23" s="702"/>
      <c r="C23" s="688"/>
      <c r="D23" s="264"/>
      <c r="E23" s="264"/>
      <c r="F23" s="265"/>
      <c r="G23" s="264"/>
      <c r="H23" s="264"/>
      <c r="I23" s="264"/>
      <c r="J23" s="264"/>
      <c r="K23" s="264"/>
      <c r="L23" s="264"/>
      <c r="M23" s="264"/>
      <c r="N23" s="264"/>
      <c r="O23" s="266"/>
    </row>
    <row r="24" spans="1:17" ht="18.75" hidden="1" customHeight="1">
      <c r="A24" s="267"/>
      <c r="B24" s="703"/>
      <c r="C24" s="689" t="s">
        <v>1138</v>
      </c>
      <c r="D24" s="268"/>
      <c r="E24" s="268"/>
      <c r="F24" s="261">
        <f t="shared" ref="F24" si="3">D24-E24</f>
        <v>0</v>
      </c>
      <c r="G24" s="268"/>
      <c r="H24" s="268"/>
      <c r="I24" s="268"/>
      <c r="J24" s="268"/>
      <c r="K24" s="268"/>
      <c r="L24" s="268"/>
      <c r="M24" s="268"/>
      <c r="N24" s="268"/>
      <c r="O24" s="269"/>
      <c r="Q24" s="689" t="s">
        <v>1138</v>
      </c>
    </row>
    <row r="25" spans="1:17" ht="33" customHeight="1">
      <c r="A25" s="1012" t="s">
        <v>307</v>
      </c>
      <c r="B25" s="701">
        <v>20</v>
      </c>
      <c r="C25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5" s="270"/>
      <c r="E25" s="270"/>
      <c r="F25" s="261"/>
      <c r="G25" s="270"/>
      <c r="H25" s="270"/>
      <c r="I25" s="270"/>
      <c r="J25" s="270"/>
      <c r="K25" s="270"/>
      <c r="L25" s="270"/>
      <c r="M25" s="270"/>
      <c r="N25" s="324">
        <f>D25+F25+H25+L25</f>
        <v>0</v>
      </c>
      <c r="O25" s="269">
        <f>E25+G25+J25+I25+K25+M25</f>
        <v>0</v>
      </c>
    </row>
    <row r="26" spans="1:17" ht="33" hidden="1" customHeight="1">
      <c r="A26" s="1013"/>
      <c r="B26" s="701">
        <v>21</v>
      </c>
      <c r="C26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6" s="270"/>
      <c r="E26" s="270"/>
      <c r="F26" s="261"/>
      <c r="G26" s="270"/>
      <c r="H26" s="270"/>
      <c r="I26" s="270"/>
      <c r="J26" s="270"/>
      <c r="K26" s="270"/>
      <c r="L26" s="270"/>
      <c r="M26" s="270"/>
      <c r="N26" s="324">
        <f t="shared" ref="N26:N34" si="4">D26+F26+H26+L26</f>
        <v>0</v>
      </c>
      <c r="O26" s="269">
        <f t="shared" ref="O26:O34" si="5">E26+G26+J26+I26+K26+M26</f>
        <v>0</v>
      </c>
      <c r="Q26" s="788" t="s">
        <v>1136</v>
      </c>
    </row>
    <row r="27" spans="1:17" ht="33" customHeight="1">
      <c r="A27" s="1012" t="s">
        <v>308</v>
      </c>
      <c r="B27" s="701">
        <v>30</v>
      </c>
      <c r="C27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7" s="270"/>
      <c r="E27" s="270"/>
      <c r="F27" s="261"/>
      <c r="G27" s="270"/>
      <c r="H27" s="270"/>
      <c r="I27" s="270"/>
      <c r="J27" s="270"/>
      <c r="K27" s="270"/>
      <c r="L27" s="270"/>
      <c r="M27" s="270"/>
      <c r="N27" s="324">
        <f t="shared" si="4"/>
        <v>0</v>
      </c>
      <c r="O27" s="269">
        <f t="shared" si="5"/>
        <v>0</v>
      </c>
    </row>
    <row r="28" spans="1:17" ht="33" hidden="1" customHeight="1">
      <c r="A28" s="1013"/>
      <c r="B28" s="701">
        <v>31</v>
      </c>
      <c r="C28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8" s="270"/>
      <c r="E28" s="270"/>
      <c r="F28" s="261"/>
      <c r="G28" s="270"/>
      <c r="H28" s="270"/>
      <c r="I28" s="270"/>
      <c r="J28" s="270"/>
      <c r="K28" s="270"/>
      <c r="L28" s="270"/>
      <c r="M28" s="270"/>
      <c r="N28" s="324">
        <f t="shared" si="4"/>
        <v>0</v>
      </c>
      <c r="O28" s="269">
        <f t="shared" si="5"/>
        <v>0</v>
      </c>
      <c r="Q28" s="788" t="s">
        <v>1136</v>
      </c>
    </row>
    <row r="29" spans="1:17" ht="33" customHeight="1">
      <c r="A29" s="1012" t="s">
        <v>309</v>
      </c>
      <c r="B29" s="701">
        <v>40</v>
      </c>
      <c r="C29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9" s="270"/>
      <c r="E29" s="270"/>
      <c r="F29" s="261"/>
      <c r="G29" s="270"/>
      <c r="H29" s="270"/>
      <c r="I29" s="270"/>
      <c r="J29" s="270"/>
      <c r="K29" s="270"/>
      <c r="L29" s="270"/>
      <c r="M29" s="270"/>
      <c r="N29" s="324">
        <f t="shared" si="4"/>
        <v>0</v>
      </c>
      <c r="O29" s="269">
        <f t="shared" si="5"/>
        <v>0</v>
      </c>
    </row>
    <row r="30" spans="1:17" ht="33" hidden="1" customHeight="1">
      <c r="A30" s="1013"/>
      <c r="B30" s="701">
        <v>41</v>
      </c>
      <c r="C30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0" s="270"/>
      <c r="E30" s="270"/>
      <c r="F30" s="261"/>
      <c r="G30" s="270"/>
      <c r="H30" s="270"/>
      <c r="I30" s="270"/>
      <c r="J30" s="270"/>
      <c r="K30" s="270"/>
      <c r="L30" s="270"/>
      <c r="M30" s="270"/>
      <c r="N30" s="324">
        <f t="shared" si="4"/>
        <v>0</v>
      </c>
      <c r="O30" s="269">
        <f t="shared" si="5"/>
        <v>0</v>
      </c>
      <c r="Q30" s="788" t="s">
        <v>1136</v>
      </c>
    </row>
    <row r="31" spans="1:17" ht="45" customHeight="1">
      <c r="A31" s="1012" t="s">
        <v>310</v>
      </c>
      <c r="B31" s="701">
        <v>50</v>
      </c>
      <c r="C31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1" s="270"/>
      <c r="E31" s="270"/>
      <c r="F31" s="261"/>
      <c r="G31" s="270"/>
      <c r="H31" s="270"/>
      <c r="I31" s="270"/>
      <c r="J31" s="270"/>
      <c r="K31" s="270"/>
      <c r="L31" s="270"/>
      <c r="M31" s="270"/>
      <c r="N31" s="324">
        <f t="shared" si="4"/>
        <v>0</v>
      </c>
      <c r="O31" s="269">
        <f t="shared" si="5"/>
        <v>0</v>
      </c>
    </row>
    <row r="32" spans="1:17" ht="33" hidden="1" customHeight="1">
      <c r="A32" s="1013"/>
      <c r="B32" s="701">
        <v>51</v>
      </c>
      <c r="C32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2" s="270"/>
      <c r="E32" s="270"/>
      <c r="F32" s="261"/>
      <c r="G32" s="270"/>
      <c r="H32" s="270"/>
      <c r="I32" s="270"/>
      <c r="J32" s="270"/>
      <c r="K32" s="270"/>
      <c r="L32" s="270"/>
      <c r="M32" s="270"/>
      <c r="N32" s="324">
        <f t="shared" si="4"/>
        <v>0</v>
      </c>
      <c r="O32" s="269">
        <f t="shared" si="5"/>
        <v>0</v>
      </c>
      <c r="Q32" s="788" t="s">
        <v>1136</v>
      </c>
    </row>
    <row r="33" spans="1:17" ht="33" customHeight="1">
      <c r="A33" s="1012" t="s">
        <v>311</v>
      </c>
      <c r="B33" s="701">
        <v>60</v>
      </c>
      <c r="C33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3" s="270"/>
      <c r="E33" s="270"/>
      <c r="F33" s="261"/>
      <c r="G33" s="270"/>
      <c r="H33" s="270"/>
      <c r="I33" s="270"/>
      <c r="J33" s="270"/>
      <c r="K33" s="270"/>
      <c r="L33" s="270"/>
      <c r="M33" s="270"/>
      <c r="N33" s="324">
        <f t="shared" si="4"/>
        <v>0</v>
      </c>
      <c r="O33" s="269">
        <f t="shared" si="5"/>
        <v>0</v>
      </c>
    </row>
    <row r="34" spans="1:17" ht="33" hidden="1" customHeight="1">
      <c r="A34" s="1013"/>
      <c r="B34" s="701">
        <v>61</v>
      </c>
      <c r="C34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4" s="270"/>
      <c r="E34" s="270"/>
      <c r="F34" s="261"/>
      <c r="G34" s="270"/>
      <c r="H34" s="270"/>
      <c r="I34" s="270"/>
      <c r="J34" s="270"/>
      <c r="K34" s="270"/>
      <c r="L34" s="270"/>
      <c r="M34" s="270"/>
      <c r="N34" s="324">
        <f t="shared" si="4"/>
        <v>0</v>
      </c>
      <c r="O34" s="269">
        <f t="shared" si="5"/>
        <v>0</v>
      </c>
      <c r="Q34" s="788" t="s">
        <v>1136</v>
      </c>
    </row>
    <row r="35" spans="1:17" ht="33" customHeight="1">
      <c r="A35" s="1012" t="s">
        <v>800</v>
      </c>
      <c r="B35" s="701">
        <v>70</v>
      </c>
      <c r="C35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5" s="261">
        <f t="shared" ref="D35:O36" si="6">D39+D41+D43+D45+D47</f>
        <v>0</v>
      </c>
      <c r="E35" s="261">
        <f t="shared" si="6"/>
        <v>0</v>
      </c>
      <c r="F35" s="261">
        <f t="shared" si="6"/>
        <v>0</v>
      </c>
      <c r="G35" s="261">
        <f t="shared" si="6"/>
        <v>0</v>
      </c>
      <c r="H35" s="261">
        <f t="shared" si="6"/>
        <v>0</v>
      </c>
      <c r="I35" s="261">
        <f t="shared" si="6"/>
        <v>0</v>
      </c>
      <c r="J35" s="261">
        <f t="shared" si="6"/>
        <v>0</v>
      </c>
      <c r="K35" s="261">
        <f t="shared" ref="K35" si="7">K39+K41+K43+K45+K47</f>
        <v>0</v>
      </c>
      <c r="L35" s="261">
        <f t="shared" si="6"/>
        <v>0</v>
      </c>
      <c r="M35" s="261">
        <f t="shared" si="6"/>
        <v>0</v>
      </c>
      <c r="N35" s="261">
        <f t="shared" si="6"/>
        <v>0</v>
      </c>
      <c r="O35" s="262">
        <f t="shared" si="6"/>
        <v>0</v>
      </c>
    </row>
    <row r="36" spans="1:17" ht="33" hidden="1" customHeight="1">
      <c r="A36" s="1013"/>
      <c r="B36" s="701">
        <v>71</v>
      </c>
      <c r="C36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6" s="261">
        <f t="shared" si="6"/>
        <v>0</v>
      </c>
      <c r="E36" s="261">
        <f t="shared" si="6"/>
        <v>0</v>
      </c>
      <c r="F36" s="261">
        <f t="shared" si="6"/>
        <v>0</v>
      </c>
      <c r="G36" s="261">
        <f t="shared" si="6"/>
        <v>0</v>
      </c>
      <c r="H36" s="261">
        <f t="shared" si="6"/>
        <v>0</v>
      </c>
      <c r="I36" s="261">
        <f t="shared" si="6"/>
        <v>0</v>
      </c>
      <c r="J36" s="261">
        <f t="shared" si="6"/>
        <v>0</v>
      </c>
      <c r="K36" s="261">
        <f t="shared" ref="K36" si="8">K40+K42+K44+K46+K48</f>
        <v>0</v>
      </c>
      <c r="L36" s="261">
        <f t="shared" si="6"/>
        <v>0</v>
      </c>
      <c r="M36" s="261">
        <f t="shared" si="6"/>
        <v>0</v>
      </c>
      <c r="N36" s="261">
        <f t="shared" si="6"/>
        <v>0</v>
      </c>
      <c r="O36" s="262">
        <f t="shared" si="6"/>
        <v>0</v>
      </c>
      <c r="Q36" s="788" t="s">
        <v>1136</v>
      </c>
    </row>
    <row r="37" spans="1:17" ht="15" customHeight="1">
      <c r="A37" s="263" t="s">
        <v>306</v>
      </c>
      <c r="B37" s="702"/>
      <c r="C37" s="688"/>
      <c r="D37" s="264"/>
      <c r="E37" s="264"/>
      <c r="F37" s="265"/>
      <c r="G37" s="264"/>
      <c r="H37" s="264"/>
      <c r="I37" s="264"/>
      <c r="J37" s="264"/>
      <c r="K37" s="264"/>
      <c r="L37" s="264"/>
      <c r="M37" s="264"/>
      <c r="N37" s="264"/>
      <c r="O37" s="266"/>
    </row>
    <row r="38" spans="1:17" ht="21" hidden="1" customHeight="1">
      <c r="A38" s="258"/>
      <c r="B38" s="704"/>
      <c r="C38" s="689" t="s">
        <v>1138</v>
      </c>
      <c r="D38" s="270"/>
      <c r="E38" s="270"/>
      <c r="F38" s="261"/>
      <c r="G38" s="270"/>
      <c r="H38" s="270"/>
      <c r="I38" s="270"/>
      <c r="J38" s="270"/>
      <c r="K38" s="270"/>
      <c r="L38" s="270"/>
      <c r="M38" s="270"/>
      <c r="N38" s="268"/>
      <c r="O38" s="269"/>
      <c r="Q38" s="689" t="s">
        <v>1138</v>
      </c>
    </row>
    <row r="39" spans="1:17" ht="33" customHeight="1">
      <c r="A39" s="981" t="s">
        <v>307</v>
      </c>
      <c r="B39" s="705">
        <v>80</v>
      </c>
      <c r="C39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324">
        <f t="shared" ref="N39:N48" si="9">D39+F39+H39+L39</f>
        <v>0</v>
      </c>
      <c r="O39" s="269">
        <f t="shared" ref="O39:O48" si="10">E39+G39+J39+I39+K39+M39</f>
        <v>0</v>
      </c>
    </row>
    <row r="40" spans="1:17" ht="33" hidden="1" customHeight="1">
      <c r="A40" s="982"/>
      <c r="B40" s="705">
        <v>81</v>
      </c>
      <c r="C40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324">
        <f t="shared" si="9"/>
        <v>0</v>
      </c>
      <c r="O40" s="269">
        <f t="shared" si="10"/>
        <v>0</v>
      </c>
      <c r="Q40" s="788" t="s">
        <v>1136</v>
      </c>
    </row>
    <row r="41" spans="1:17" ht="33" customHeight="1">
      <c r="A41" s="981" t="s">
        <v>308</v>
      </c>
      <c r="B41" s="705">
        <v>90</v>
      </c>
      <c r="C41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324">
        <f t="shared" si="9"/>
        <v>0</v>
      </c>
      <c r="O41" s="269">
        <f t="shared" si="10"/>
        <v>0</v>
      </c>
    </row>
    <row r="42" spans="1:17" ht="33" hidden="1" customHeight="1">
      <c r="A42" s="982"/>
      <c r="B42" s="705">
        <v>91</v>
      </c>
      <c r="C42" s="678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324">
        <f t="shared" si="9"/>
        <v>0</v>
      </c>
      <c r="O42" s="269">
        <f t="shared" si="10"/>
        <v>0</v>
      </c>
      <c r="Q42" s="788" t="s">
        <v>1136</v>
      </c>
    </row>
    <row r="43" spans="1:17" hidden="1">
      <c r="A43" s="548"/>
      <c r="B43" s="705"/>
      <c r="C43" s="689" t="s">
        <v>1138</v>
      </c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324">
        <f t="shared" si="9"/>
        <v>0</v>
      </c>
      <c r="O43" s="269">
        <f t="shared" si="10"/>
        <v>0</v>
      </c>
      <c r="Q43" s="689" t="s">
        <v>1138</v>
      </c>
    </row>
    <row r="44" spans="1:17" hidden="1">
      <c r="A44" s="548"/>
      <c r="B44" s="705"/>
      <c r="C44" s="689" t="s">
        <v>1138</v>
      </c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324">
        <f t="shared" si="9"/>
        <v>0</v>
      </c>
      <c r="O44" s="269">
        <f t="shared" si="10"/>
        <v>0</v>
      </c>
      <c r="Q44" s="689" t="s">
        <v>1138</v>
      </c>
    </row>
    <row r="45" spans="1:17" ht="33" customHeight="1">
      <c r="A45" s="981" t="s">
        <v>310</v>
      </c>
      <c r="B45" s="705">
        <v>100</v>
      </c>
      <c r="C45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324">
        <f t="shared" si="9"/>
        <v>0</v>
      </c>
      <c r="O45" s="269">
        <f t="shared" si="10"/>
        <v>0</v>
      </c>
    </row>
    <row r="46" spans="1:17" ht="33" hidden="1" customHeight="1">
      <c r="A46" s="982"/>
      <c r="B46" s="705">
        <v>101</v>
      </c>
      <c r="C46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324">
        <f t="shared" si="9"/>
        <v>0</v>
      </c>
      <c r="O46" s="269">
        <f t="shared" si="10"/>
        <v>0</v>
      </c>
      <c r="Q46" s="788" t="s">
        <v>1136</v>
      </c>
    </row>
    <row r="47" spans="1:17" ht="33" customHeight="1">
      <c r="A47" s="981" t="s">
        <v>311</v>
      </c>
      <c r="B47" s="706">
        <v>110</v>
      </c>
      <c r="C47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324">
        <f t="shared" si="9"/>
        <v>0</v>
      </c>
      <c r="O47" s="269">
        <f t="shared" si="10"/>
        <v>0</v>
      </c>
    </row>
    <row r="48" spans="1:17" ht="33" hidden="1" customHeight="1">
      <c r="A48" s="983"/>
      <c r="B48" s="746">
        <v>111</v>
      </c>
      <c r="C48" s="74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554">
        <f t="shared" si="9"/>
        <v>0</v>
      </c>
      <c r="O48" s="555">
        <f t="shared" si="10"/>
        <v>0</v>
      </c>
      <c r="Q48" s="788" t="s">
        <v>1136</v>
      </c>
    </row>
    <row r="49" spans="1:15">
      <c r="A49" s="827"/>
      <c r="C49" s="834"/>
      <c r="D49" s="827"/>
      <c r="E49" s="827"/>
      <c r="F49" s="827"/>
      <c r="G49" s="827"/>
      <c r="H49" s="827"/>
      <c r="I49" s="827"/>
      <c r="J49" s="827"/>
      <c r="K49" s="827"/>
      <c r="L49" s="827"/>
      <c r="M49" s="827"/>
      <c r="N49" s="827"/>
      <c r="O49" s="827"/>
    </row>
  </sheetData>
  <autoFilter ref="Q20:Q48">
    <filterColumn colId="0">
      <filters blank="1"/>
    </filterColumn>
  </autoFilter>
  <mergeCells count="28">
    <mergeCell ref="J18:J19"/>
    <mergeCell ref="A47:A48"/>
    <mergeCell ref="A45:A46"/>
    <mergeCell ref="A41:A42"/>
    <mergeCell ref="A31:A32"/>
    <mergeCell ref="A33:A34"/>
    <mergeCell ref="A35:A36"/>
    <mergeCell ref="A39:A40"/>
    <mergeCell ref="A21:A22"/>
    <mergeCell ref="A25:A26"/>
    <mergeCell ref="A27:A28"/>
    <mergeCell ref="A29:A30"/>
    <mergeCell ref="A13:O13"/>
    <mergeCell ref="A15:O15"/>
    <mergeCell ref="A17:A19"/>
    <mergeCell ref="B17:B19"/>
    <mergeCell ref="C17:C19"/>
    <mergeCell ref="N17:O17"/>
    <mergeCell ref="D18:D19"/>
    <mergeCell ref="E18:E19"/>
    <mergeCell ref="N18:N19"/>
    <mergeCell ref="O18:O19"/>
    <mergeCell ref="L18:M18"/>
    <mergeCell ref="F18:G18"/>
    <mergeCell ref="F17:M17"/>
    <mergeCell ref="D17:E17"/>
    <mergeCell ref="K18:K19"/>
    <mergeCell ref="H18:I18"/>
  </mergeCells>
  <dataValidations count="1">
    <dataValidation operator="equal" allowBlank="1" showInputMessage="1" showErrorMessage="1" error="Ячейки строк 5221-5235 формы 2.1 закрыты для редактирования, т к не должны содержать сумм." sqref="D39:M48"/>
  </dataValidations>
  <pageMargins left="0.41" right="0.23622047244094491" top="0.66" bottom="0.43307086614173229" header="0.47" footer="0.51181102362204722"/>
  <pageSetup paperSize="9" scale="50" orientation="landscape" r:id="rId1"/>
  <headerFooter alignWithMargins="0"/>
  <ignoredErrors>
    <ignoredError sqref="C21 D21:O37 D39:O48 D38:E38 G38:M38 C23 C25" unlockedFormula="1"/>
    <ignoredError sqref="C27 C37 C29 C31 C33 C35" formula="1" unlockedFormula="1"/>
    <ignoredError sqref="C40:C41 C46:C47 C26 C28 C30 C32 C34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 filterMode="1">
    <tabColor theme="8" tint="0.79998168889431442"/>
    <pageSetUpPr fitToPage="1"/>
  </sheetPr>
  <dimension ref="A1:S34"/>
  <sheetViews>
    <sheetView zoomScale="75" zoomScaleNormal="75" workbookViewId="0">
      <selection activeCell="I53" sqref="I53"/>
    </sheetView>
  </sheetViews>
  <sheetFormatPr defaultColWidth="9.140625" defaultRowHeight="15.75"/>
  <cols>
    <col min="1" max="1" width="30.7109375" style="145" customWidth="1"/>
    <col min="2" max="2" width="8.85546875" style="145" hidden="1" customWidth="1"/>
    <col min="3" max="3" width="19.42578125" style="282" bestFit="1" customWidth="1"/>
    <col min="4" max="4" width="16.28515625" style="145" customWidth="1"/>
    <col min="5" max="5" width="16.42578125" style="145" customWidth="1"/>
    <col min="6" max="6" width="13.28515625" style="145" hidden="1" customWidth="1"/>
    <col min="7" max="7" width="15.5703125" style="145" customWidth="1"/>
    <col min="8" max="8" width="17.28515625" style="145" customWidth="1"/>
    <col min="9" max="9" width="15.85546875" style="145" customWidth="1"/>
    <col min="10" max="11" width="14.42578125" style="145" customWidth="1"/>
    <col min="12" max="12" width="16.7109375" style="145" customWidth="1"/>
    <col min="13" max="13" width="17.28515625" style="145" customWidth="1"/>
    <col min="14" max="14" width="17.42578125" style="145" customWidth="1"/>
    <col min="15" max="15" width="16.85546875" style="145" customWidth="1"/>
    <col min="16" max="16" width="15.42578125" style="145" customWidth="1"/>
    <col min="17" max="17" width="16.42578125" style="145" customWidth="1"/>
    <col min="18" max="18" width="4.140625" style="145" customWidth="1"/>
    <col min="19" max="19" width="12.42578125" style="788" customWidth="1"/>
    <col min="20" max="16384" width="9.140625" style="145"/>
  </cols>
  <sheetData>
    <row r="1" spans="1:19" ht="12.75" customHeight="1">
      <c r="A1" s="238"/>
      <c r="B1" s="238"/>
      <c r="C1" s="684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</row>
    <row r="2" spans="1:19" s="146" customFormat="1" ht="24" hidden="1" customHeight="1">
      <c r="A2" s="239"/>
      <c r="B2" s="153"/>
      <c r="C2" s="247"/>
      <c r="D2" s="240"/>
      <c r="E2" s="160"/>
      <c r="F2" s="241" t="s">
        <v>12</v>
      </c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</row>
    <row r="3" spans="1:19" s="146" customFormat="1" ht="24" hidden="1" customHeight="1">
      <c r="A3" s="239"/>
      <c r="B3" s="153"/>
      <c r="C3" s="247"/>
      <c r="D3" s="239"/>
      <c r="E3" s="242"/>
      <c r="F3" s="243" t="s">
        <v>13</v>
      </c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</row>
    <row r="4" spans="1:19" s="146" customFormat="1" ht="24" hidden="1" customHeight="1">
      <c r="A4" s="239"/>
      <c r="B4" s="153"/>
      <c r="C4" s="247"/>
      <c r="D4" s="239"/>
      <c r="E4" s="242" t="s">
        <v>280</v>
      </c>
      <c r="F4" s="243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</row>
    <row r="5" spans="1:19" s="146" customFormat="1" ht="24" hidden="1" customHeight="1">
      <c r="A5" s="154" t="s">
        <v>281</v>
      </c>
      <c r="B5" s="239"/>
      <c r="C5" s="153"/>
      <c r="D5" s="154"/>
      <c r="E5" s="242" t="s">
        <v>282</v>
      </c>
      <c r="F5" s="243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</row>
    <row r="6" spans="1:19" s="146" customFormat="1" ht="24" hidden="1" customHeight="1">
      <c r="A6" s="155" t="s">
        <v>283</v>
      </c>
      <c r="B6" s="239"/>
      <c r="C6" s="247"/>
      <c r="D6" s="244"/>
      <c r="E6" s="242" t="s">
        <v>284</v>
      </c>
      <c r="F6" s="243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</row>
    <row r="7" spans="1:19" s="146" customFormat="1" ht="24" hidden="1" customHeight="1">
      <c r="A7" s="154" t="s">
        <v>285</v>
      </c>
      <c r="B7" s="239"/>
      <c r="C7" s="153"/>
      <c r="D7" s="154"/>
      <c r="E7" s="242" t="s">
        <v>286</v>
      </c>
      <c r="F7" s="243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</row>
    <row r="8" spans="1:19" s="146" customFormat="1" ht="24" hidden="1" customHeight="1">
      <c r="A8" s="154" t="s">
        <v>287</v>
      </c>
      <c r="B8" s="239"/>
      <c r="C8" s="247"/>
      <c r="D8" s="244"/>
      <c r="E8" s="242"/>
      <c r="F8" s="243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1:19" s="146" customFormat="1" ht="24" hidden="1" customHeight="1">
      <c r="A9" s="245"/>
      <c r="B9" s="239"/>
      <c r="C9" s="685"/>
      <c r="D9" s="239"/>
      <c r="E9" s="242" t="s">
        <v>288</v>
      </c>
      <c r="F9" s="243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</row>
    <row r="10" spans="1:19" s="146" customFormat="1" ht="24" hidden="1" customHeight="1">
      <c r="A10" s="155" t="s">
        <v>14</v>
      </c>
      <c r="B10" s="239"/>
      <c r="C10" s="247"/>
      <c r="D10" s="244"/>
      <c r="E10" s="242" t="s">
        <v>289</v>
      </c>
      <c r="F10" s="246">
        <v>384</v>
      </c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</row>
    <row r="11" spans="1:19" s="146" customFormat="1" ht="24" hidden="1" customHeight="1">
      <c r="A11" s="155" t="s">
        <v>290</v>
      </c>
      <c r="B11" s="239"/>
      <c r="C11" s="247"/>
      <c r="D11" s="160"/>
      <c r="E11" s="160"/>
      <c r="F11" s="248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</row>
    <row r="12" spans="1:19">
      <c r="A12" s="238"/>
      <c r="B12" s="238"/>
      <c r="C12" s="684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49" t="s">
        <v>312</v>
      </c>
    </row>
    <row r="13" spans="1:19" ht="10.5" customHeight="1">
      <c r="A13" s="250"/>
      <c r="B13" s="250"/>
      <c r="C13" s="677"/>
      <c r="D13" s="250"/>
      <c r="E13" s="250"/>
      <c r="F13" s="250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</row>
    <row r="14" spans="1:19" ht="30.6" customHeight="1">
      <c r="A14" s="998" t="s">
        <v>801</v>
      </c>
      <c r="B14" s="998"/>
      <c r="C14" s="998"/>
      <c r="D14" s="998"/>
      <c r="E14" s="998"/>
      <c r="F14" s="998"/>
      <c r="G14" s="998"/>
      <c r="H14" s="998"/>
      <c r="I14" s="998"/>
      <c r="J14" s="998"/>
      <c r="K14" s="998"/>
      <c r="L14" s="998"/>
      <c r="M14" s="998"/>
      <c r="N14" s="998"/>
      <c r="O14" s="998"/>
      <c r="P14" s="998"/>
      <c r="Q14" s="998"/>
    </row>
    <row r="15" spans="1:19" ht="20.100000000000001" customHeight="1">
      <c r="A15" s="810" t="s">
        <v>14</v>
      </c>
      <c r="B15" s="238"/>
      <c r="C15" s="684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52"/>
      <c r="O15" s="252"/>
      <c r="P15" s="238"/>
      <c r="Q15" s="238"/>
    </row>
    <row r="16" spans="1:19" s="168" customFormat="1" ht="15.75" customHeight="1">
      <c r="A16" s="999" t="s">
        <v>0</v>
      </c>
      <c r="B16" s="1017" t="s">
        <v>1121</v>
      </c>
      <c r="C16" s="1002" t="s">
        <v>293</v>
      </c>
      <c r="D16" s="1004" t="s">
        <v>294</v>
      </c>
      <c r="E16" s="1010"/>
      <c r="F16" s="1011"/>
      <c r="G16" s="1004" t="s">
        <v>295</v>
      </c>
      <c r="H16" s="1010"/>
      <c r="I16" s="1010"/>
      <c r="J16" s="1010"/>
      <c r="K16" s="1010"/>
      <c r="L16" s="1010"/>
      <c r="M16" s="1010"/>
      <c r="N16" s="1010"/>
      <c r="O16" s="1011"/>
      <c r="P16" s="1004" t="s">
        <v>296</v>
      </c>
      <c r="Q16" s="1005"/>
      <c r="S16" s="792"/>
    </row>
    <row r="17" spans="1:19" s="168" customFormat="1" ht="50.25" customHeight="1">
      <c r="A17" s="1000"/>
      <c r="B17" s="1018"/>
      <c r="C17" s="1003"/>
      <c r="D17" s="961" t="s">
        <v>794</v>
      </c>
      <c r="E17" s="961" t="s">
        <v>793</v>
      </c>
      <c r="F17" s="961"/>
      <c r="G17" s="961" t="s">
        <v>838</v>
      </c>
      <c r="H17" s="1008" t="s">
        <v>836</v>
      </c>
      <c r="I17" s="1009"/>
      <c r="J17" s="961" t="s">
        <v>834</v>
      </c>
      <c r="K17" s="961" t="s">
        <v>837</v>
      </c>
      <c r="L17" s="1008" t="s">
        <v>839</v>
      </c>
      <c r="M17" s="1009"/>
      <c r="N17" s="1008" t="s">
        <v>840</v>
      </c>
      <c r="O17" s="1009"/>
      <c r="P17" s="961" t="s">
        <v>794</v>
      </c>
      <c r="Q17" s="1006" t="s">
        <v>793</v>
      </c>
      <c r="S17" s="792"/>
    </row>
    <row r="18" spans="1:19" s="168" customFormat="1" ht="78.75" customHeight="1">
      <c r="A18" s="1001"/>
      <c r="B18" s="1019"/>
      <c r="C18" s="962"/>
      <c r="D18" s="962"/>
      <c r="E18" s="962"/>
      <c r="F18" s="962"/>
      <c r="G18" s="962"/>
      <c r="H18" s="327" t="s">
        <v>794</v>
      </c>
      <c r="I18" s="327" t="s">
        <v>793</v>
      </c>
      <c r="J18" s="962"/>
      <c r="K18" s="962"/>
      <c r="L18" s="327" t="s">
        <v>794</v>
      </c>
      <c r="M18" s="327" t="s">
        <v>793</v>
      </c>
      <c r="N18" s="327" t="s">
        <v>794</v>
      </c>
      <c r="O18" s="327" t="s">
        <v>793</v>
      </c>
      <c r="P18" s="962"/>
      <c r="Q18" s="1007"/>
      <c r="S18" s="792"/>
    </row>
    <row r="19" spans="1:19" s="146" customFormat="1" ht="17.25" hidden="1" customHeight="1">
      <c r="A19" s="754" t="s">
        <v>1121</v>
      </c>
      <c r="B19" s="755"/>
      <c r="C19" s="756"/>
      <c r="D19" s="740" t="s">
        <v>1122</v>
      </c>
      <c r="E19" s="740" t="s">
        <v>1123</v>
      </c>
      <c r="F19" s="740" t="s">
        <v>1124</v>
      </c>
      <c r="G19" s="740" t="s">
        <v>1125</v>
      </c>
      <c r="H19" s="740" t="s">
        <v>1126</v>
      </c>
      <c r="I19" s="740" t="s">
        <v>1127</v>
      </c>
      <c r="J19" s="740" t="s">
        <v>1128</v>
      </c>
      <c r="K19" s="740" t="s">
        <v>1129</v>
      </c>
      <c r="L19" s="740" t="s">
        <v>1130</v>
      </c>
      <c r="M19" s="740" t="s">
        <v>1131</v>
      </c>
      <c r="N19" s="740" t="s">
        <v>1132</v>
      </c>
      <c r="O19" s="740" t="s">
        <v>1133</v>
      </c>
      <c r="P19" s="740" t="s">
        <v>1134</v>
      </c>
      <c r="Q19" s="753" t="s">
        <v>1135</v>
      </c>
      <c r="S19" s="749" t="s">
        <v>1137</v>
      </c>
    </row>
    <row r="20" spans="1:19" s="168" customFormat="1" ht="39.950000000000003" customHeight="1">
      <c r="A20" s="1014" t="s">
        <v>802</v>
      </c>
      <c r="B20" s="707">
        <v>10</v>
      </c>
      <c r="C20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0" s="261">
        <f t="shared" ref="D20:Q21" si="0">D24+D26+D28+D30+D32</f>
        <v>0</v>
      </c>
      <c r="E20" s="261">
        <f t="shared" si="0"/>
        <v>0</v>
      </c>
      <c r="F20" s="261"/>
      <c r="G20" s="261">
        <f t="shared" si="0"/>
        <v>0</v>
      </c>
      <c r="H20" s="261">
        <f t="shared" si="0"/>
        <v>0</v>
      </c>
      <c r="I20" s="261">
        <f t="shared" si="0"/>
        <v>0</v>
      </c>
      <c r="J20" s="261">
        <f t="shared" si="0"/>
        <v>0</v>
      </c>
      <c r="K20" s="261">
        <f t="shared" si="0"/>
        <v>0</v>
      </c>
      <c r="L20" s="261">
        <f t="shared" si="0"/>
        <v>0</v>
      </c>
      <c r="M20" s="261">
        <f t="shared" si="0"/>
        <v>0</v>
      </c>
      <c r="N20" s="261">
        <f t="shared" si="0"/>
        <v>0</v>
      </c>
      <c r="O20" s="261">
        <f t="shared" si="0"/>
        <v>0</v>
      </c>
      <c r="P20" s="261">
        <f t="shared" si="0"/>
        <v>0</v>
      </c>
      <c r="Q20" s="262">
        <f t="shared" si="0"/>
        <v>0</v>
      </c>
      <c r="S20" s="792"/>
    </row>
    <row r="21" spans="1:19" ht="39.950000000000003" hidden="1" customHeight="1">
      <c r="A21" s="1015"/>
      <c r="B21" s="708">
        <v>11</v>
      </c>
      <c r="C21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1" s="556">
        <f t="shared" si="0"/>
        <v>0</v>
      </c>
      <c r="E21" s="556">
        <f t="shared" si="0"/>
        <v>0</v>
      </c>
      <c r="F21" s="556"/>
      <c r="G21" s="556">
        <f t="shared" si="0"/>
        <v>0</v>
      </c>
      <c r="H21" s="556">
        <f t="shared" si="0"/>
        <v>0</v>
      </c>
      <c r="I21" s="261">
        <f t="shared" si="0"/>
        <v>0</v>
      </c>
      <c r="J21" s="261">
        <f t="shared" si="0"/>
        <v>0</v>
      </c>
      <c r="K21" s="261">
        <f t="shared" si="0"/>
        <v>0</v>
      </c>
      <c r="L21" s="261">
        <f t="shared" si="0"/>
        <v>0</v>
      </c>
      <c r="M21" s="261">
        <f t="shared" si="0"/>
        <v>0</v>
      </c>
      <c r="N21" s="261">
        <f t="shared" si="0"/>
        <v>0</v>
      </c>
      <c r="O21" s="261">
        <f t="shared" si="0"/>
        <v>0</v>
      </c>
      <c r="P21" s="261">
        <f t="shared" si="0"/>
        <v>0</v>
      </c>
      <c r="Q21" s="262">
        <f t="shared" si="0"/>
        <v>0</v>
      </c>
      <c r="S21" s="788" t="s">
        <v>1136</v>
      </c>
    </row>
    <row r="22" spans="1:19" ht="24.95" customHeight="1">
      <c r="A22" s="263" t="s">
        <v>306</v>
      </c>
      <c r="B22" s="709"/>
      <c r="C22" s="688"/>
      <c r="D22" s="264"/>
      <c r="E22" s="264"/>
      <c r="F22" s="265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6"/>
    </row>
    <row r="23" spans="1:19" ht="21" hidden="1" customHeight="1">
      <c r="A23" s="267"/>
      <c r="B23" s="710"/>
      <c r="C23" s="689"/>
      <c r="D23" s="268"/>
      <c r="E23" s="268"/>
      <c r="F23" s="261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9"/>
      <c r="S23" s="689" t="s">
        <v>1138</v>
      </c>
    </row>
    <row r="24" spans="1:19" ht="33" customHeight="1">
      <c r="A24" s="1012" t="s">
        <v>307</v>
      </c>
      <c r="B24" s="708">
        <v>20</v>
      </c>
      <c r="C24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4" s="270"/>
      <c r="E24" s="270"/>
      <c r="F24" s="261"/>
      <c r="G24" s="270"/>
      <c r="H24" s="270"/>
      <c r="I24" s="270"/>
      <c r="J24" s="270"/>
      <c r="K24" s="270"/>
      <c r="L24" s="270"/>
      <c r="M24" s="270"/>
      <c r="N24" s="270"/>
      <c r="O24" s="270"/>
      <c r="P24" s="268">
        <f>D24+G24+H24+L24+N24</f>
        <v>0</v>
      </c>
      <c r="Q24" s="269">
        <f>E24+I24+K24+J24+M24+O24</f>
        <v>0</v>
      </c>
    </row>
    <row r="25" spans="1:19" ht="33" hidden="1" customHeight="1">
      <c r="A25" s="1013"/>
      <c r="B25" s="708">
        <v>21</v>
      </c>
      <c r="C25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5" s="270"/>
      <c r="E25" s="270"/>
      <c r="F25" s="261"/>
      <c r="G25" s="270"/>
      <c r="H25" s="270"/>
      <c r="I25" s="270"/>
      <c r="J25" s="270"/>
      <c r="K25" s="270"/>
      <c r="L25" s="270"/>
      <c r="M25" s="270"/>
      <c r="N25" s="270"/>
      <c r="O25" s="270"/>
      <c r="P25" s="268">
        <f t="shared" ref="P25:P30" si="1">D25+G25+H25+L25+N25</f>
        <v>0</v>
      </c>
      <c r="Q25" s="269">
        <f t="shared" ref="Q25:Q30" si="2">E25+I25+K25+J25+M25+O25</f>
        <v>0</v>
      </c>
      <c r="S25" s="788" t="s">
        <v>1136</v>
      </c>
    </row>
    <row r="26" spans="1:19" ht="33" customHeight="1">
      <c r="A26" s="1012" t="s">
        <v>308</v>
      </c>
      <c r="B26" s="708">
        <v>30</v>
      </c>
      <c r="C26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6" s="270"/>
      <c r="E26" s="270"/>
      <c r="F26" s="261"/>
      <c r="G26" s="270"/>
      <c r="H26" s="270"/>
      <c r="I26" s="270"/>
      <c r="J26" s="270"/>
      <c r="K26" s="270"/>
      <c r="L26" s="270"/>
      <c r="M26" s="270"/>
      <c r="N26" s="270"/>
      <c r="O26" s="270"/>
      <c r="P26" s="268">
        <f t="shared" si="1"/>
        <v>0</v>
      </c>
      <c r="Q26" s="269">
        <f t="shared" si="2"/>
        <v>0</v>
      </c>
    </row>
    <row r="27" spans="1:19" ht="33" hidden="1" customHeight="1">
      <c r="A27" s="1013"/>
      <c r="B27" s="708">
        <v>31</v>
      </c>
      <c r="C27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7" s="270"/>
      <c r="E27" s="270"/>
      <c r="F27" s="261"/>
      <c r="G27" s="270"/>
      <c r="H27" s="270"/>
      <c r="I27" s="270"/>
      <c r="J27" s="270"/>
      <c r="K27" s="270"/>
      <c r="L27" s="270"/>
      <c r="M27" s="270"/>
      <c r="N27" s="270"/>
      <c r="O27" s="270"/>
      <c r="P27" s="268">
        <f t="shared" si="1"/>
        <v>0</v>
      </c>
      <c r="Q27" s="269">
        <f t="shared" si="2"/>
        <v>0</v>
      </c>
      <c r="S27" s="788" t="s">
        <v>1136</v>
      </c>
    </row>
    <row r="28" spans="1:19" ht="33" customHeight="1">
      <c r="A28" s="1012" t="s">
        <v>309</v>
      </c>
      <c r="B28" s="708">
        <v>40</v>
      </c>
      <c r="C28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8" s="270"/>
      <c r="E28" s="270"/>
      <c r="F28" s="261"/>
      <c r="G28" s="270"/>
      <c r="H28" s="270"/>
      <c r="I28" s="270"/>
      <c r="J28" s="270"/>
      <c r="K28" s="270"/>
      <c r="L28" s="270"/>
      <c r="M28" s="270"/>
      <c r="N28" s="270"/>
      <c r="O28" s="270"/>
      <c r="P28" s="268">
        <f t="shared" si="1"/>
        <v>0</v>
      </c>
      <c r="Q28" s="269">
        <f t="shared" si="2"/>
        <v>0</v>
      </c>
    </row>
    <row r="29" spans="1:19" ht="33" hidden="1" customHeight="1">
      <c r="A29" s="1013"/>
      <c r="B29" s="708">
        <v>41</v>
      </c>
      <c r="C29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9" s="270"/>
      <c r="E29" s="270"/>
      <c r="F29" s="261"/>
      <c r="G29" s="270"/>
      <c r="H29" s="270"/>
      <c r="I29" s="270"/>
      <c r="J29" s="270"/>
      <c r="K29" s="270"/>
      <c r="L29" s="270"/>
      <c r="M29" s="270"/>
      <c r="N29" s="270"/>
      <c r="O29" s="270"/>
      <c r="P29" s="268">
        <f t="shared" si="1"/>
        <v>0</v>
      </c>
      <c r="Q29" s="269">
        <f t="shared" si="2"/>
        <v>0</v>
      </c>
      <c r="S29" s="788" t="s">
        <v>1136</v>
      </c>
    </row>
    <row r="30" spans="1:19" ht="33" customHeight="1">
      <c r="A30" s="1012" t="s">
        <v>310</v>
      </c>
      <c r="B30" s="708">
        <v>50</v>
      </c>
      <c r="C30" s="6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0" s="270"/>
      <c r="E30" s="270"/>
      <c r="F30" s="261"/>
      <c r="G30" s="270"/>
      <c r="H30" s="270"/>
      <c r="I30" s="270"/>
      <c r="J30" s="270"/>
      <c r="K30" s="270"/>
      <c r="L30" s="270"/>
      <c r="M30" s="270"/>
      <c r="N30" s="270"/>
      <c r="O30" s="270"/>
      <c r="P30" s="268">
        <f t="shared" si="1"/>
        <v>0</v>
      </c>
      <c r="Q30" s="269">
        <f t="shared" si="2"/>
        <v>0</v>
      </c>
    </row>
    <row r="31" spans="1:19" ht="33" hidden="1" customHeight="1">
      <c r="A31" s="1013"/>
      <c r="B31" s="708">
        <v>51</v>
      </c>
      <c r="C31" s="74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1" s="270"/>
      <c r="E31" s="270"/>
      <c r="F31" s="261"/>
      <c r="G31" s="270"/>
      <c r="H31" s="270"/>
      <c r="I31" s="270"/>
      <c r="J31" s="270"/>
      <c r="K31" s="270"/>
      <c r="L31" s="270"/>
      <c r="M31" s="270"/>
      <c r="N31" s="270"/>
      <c r="O31" s="270"/>
      <c r="P31" s="268">
        <f t="shared" ref="P31:P33" si="3">D31+G31+H31+L31+N31</f>
        <v>0</v>
      </c>
      <c r="Q31" s="269">
        <f t="shared" ref="Q31:Q33" si="4">E31+I31+K31+J31+M31+O31</f>
        <v>0</v>
      </c>
      <c r="S31" s="788" t="s">
        <v>1136</v>
      </c>
    </row>
    <row r="32" spans="1:19" ht="33" customHeight="1">
      <c r="A32" s="1012" t="s">
        <v>311</v>
      </c>
      <c r="B32" s="711">
        <v>60</v>
      </c>
      <c r="C32" s="78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2" s="270"/>
      <c r="E32" s="270"/>
      <c r="F32" s="271"/>
      <c r="G32" s="270"/>
      <c r="H32" s="270"/>
      <c r="I32" s="270"/>
      <c r="J32" s="270"/>
      <c r="K32" s="270"/>
      <c r="L32" s="270"/>
      <c r="M32" s="270"/>
      <c r="N32" s="270"/>
      <c r="O32" s="270"/>
      <c r="P32" s="268">
        <f t="shared" si="3"/>
        <v>0</v>
      </c>
      <c r="Q32" s="269">
        <f t="shared" si="4"/>
        <v>0</v>
      </c>
    </row>
    <row r="33" spans="1:19" ht="33" hidden="1" customHeight="1">
      <c r="A33" s="1016"/>
      <c r="B33" s="748">
        <v>61</v>
      </c>
      <c r="C33" s="783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557">
        <f t="shared" si="3"/>
        <v>0</v>
      </c>
      <c r="Q33" s="555">
        <f t="shared" si="4"/>
        <v>0</v>
      </c>
      <c r="S33" s="788" t="s">
        <v>1136</v>
      </c>
    </row>
    <row r="34" spans="1:19">
      <c r="A34" s="827"/>
      <c r="C34" s="834"/>
      <c r="D34" s="827"/>
      <c r="E34" s="827"/>
      <c r="G34" s="827"/>
      <c r="H34" s="827"/>
      <c r="I34" s="827"/>
      <c r="J34" s="827"/>
      <c r="K34" s="827"/>
      <c r="L34" s="827"/>
      <c r="M34" s="827"/>
      <c r="N34" s="827"/>
      <c r="O34" s="827"/>
      <c r="P34" s="827"/>
      <c r="Q34" s="827"/>
    </row>
  </sheetData>
  <autoFilter ref="S19:S33">
    <filterColumn colId="0">
      <filters blank="1"/>
    </filterColumn>
  </autoFilter>
  <mergeCells count="24">
    <mergeCell ref="A14:Q14"/>
    <mergeCell ref="A16:A18"/>
    <mergeCell ref="B16:B18"/>
    <mergeCell ref="C16:C18"/>
    <mergeCell ref="D16:F16"/>
    <mergeCell ref="G16:O16"/>
    <mergeCell ref="P16:Q16"/>
    <mergeCell ref="D17:D18"/>
    <mergeCell ref="E17:E18"/>
    <mergeCell ref="L17:M17"/>
    <mergeCell ref="P17:P18"/>
    <mergeCell ref="Q17:Q18"/>
    <mergeCell ref="F17:F18"/>
    <mergeCell ref="G17:G18"/>
    <mergeCell ref="H17:I17"/>
    <mergeCell ref="J17:J18"/>
    <mergeCell ref="A32:A33"/>
    <mergeCell ref="A28:A29"/>
    <mergeCell ref="A30:A31"/>
    <mergeCell ref="K17:K18"/>
    <mergeCell ref="N17:O17"/>
    <mergeCell ref="A20:A21"/>
    <mergeCell ref="A24:A25"/>
    <mergeCell ref="A26:A27"/>
  </mergeCells>
  <pageMargins left="0.39370078740157483" right="0.23622047244094491" top="0.6692913385826772" bottom="0.43307086614173229" header="0.47244094488188981" footer="0.51181102362204722"/>
  <pageSetup paperSize="9" scale="55" orientation="landscape" r:id="rId1"/>
  <headerFooter alignWithMargins="0"/>
  <ignoredErrors>
    <ignoredError sqref="C22:E23 D25:E33 G20:Q24 G25:Q33 C20:E20 C24:E24 D21:E21" unlockedFormula="1"/>
    <ignoredError sqref="C26 C28 C30 C32" formula="1" unlockedFormula="1"/>
    <ignoredError sqref="C25 C27 C29 C31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theme="8" tint="0.79998168889431442"/>
    <pageSetUpPr fitToPage="1"/>
  </sheetPr>
  <dimension ref="A2:K25"/>
  <sheetViews>
    <sheetView zoomScale="70" zoomScaleNormal="70" workbookViewId="0">
      <selection activeCell="I53" sqref="I53"/>
    </sheetView>
  </sheetViews>
  <sheetFormatPr defaultColWidth="9.140625" defaultRowHeight="15.75"/>
  <cols>
    <col min="1" max="1" width="25.5703125" style="145" customWidth="1"/>
    <col min="2" max="2" width="21.7109375" style="145" customWidth="1"/>
    <col min="3" max="3" width="10" style="145" hidden="1" customWidth="1"/>
    <col min="4" max="4" width="18" style="145" customWidth="1"/>
    <col min="5" max="5" width="17" style="145" customWidth="1"/>
    <col min="6" max="6" width="17.28515625" style="145" customWidth="1"/>
    <col min="7" max="7" width="16.5703125" style="145" customWidth="1"/>
    <col min="8" max="9" width="17.28515625" style="145" hidden="1" customWidth="1"/>
    <col min="10" max="10" width="3" style="145" customWidth="1"/>
    <col min="11" max="11" width="21.140625" style="145" customWidth="1"/>
    <col min="12" max="16384" width="9.140625" style="145"/>
  </cols>
  <sheetData>
    <row r="2" spans="1:10" s="146" customFormat="1" ht="24" hidden="1" customHeight="1">
      <c r="B2" s="147"/>
      <c r="D2" s="148"/>
      <c r="E2" s="149"/>
      <c r="F2" s="150" t="s">
        <v>12</v>
      </c>
    </row>
    <row r="3" spans="1:10" s="146" customFormat="1" ht="24" hidden="1" customHeight="1">
      <c r="B3" s="147"/>
      <c r="E3" s="151" t="s">
        <v>316</v>
      </c>
      <c r="F3" s="152" t="s">
        <v>13</v>
      </c>
    </row>
    <row r="4" spans="1:10" s="146" customFormat="1" ht="24" hidden="1" customHeight="1">
      <c r="B4" s="153"/>
      <c r="E4" s="151" t="s">
        <v>280</v>
      </c>
      <c r="F4" s="152"/>
    </row>
    <row r="5" spans="1:10" s="146" customFormat="1" ht="24" hidden="1" customHeight="1">
      <c r="A5" s="154" t="s">
        <v>281</v>
      </c>
      <c r="C5" s="154"/>
      <c r="D5" s="154"/>
      <c r="E5" s="151" t="s">
        <v>282</v>
      </c>
      <c r="F5" s="152"/>
    </row>
    <row r="6" spans="1:10" s="146" customFormat="1" ht="24" hidden="1" customHeight="1">
      <c r="A6" s="155" t="s">
        <v>283</v>
      </c>
      <c r="D6" s="156"/>
      <c r="E6" s="151" t="s">
        <v>284</v>
      </c>
      <c r="F6" s="152"/>
    </row>
    <row r="7" spans="1:10" s="146" customFormat="1" ht="24" hidden="1" customHeight="1">
      <c r="A7" s="154" t="s">
        <v>285</v>
      </c>
      <c r="C7" s="154"/>
      <c r="D7" s="154"/>
      <c r="E7" s="151" t="s">
        <v>286</v>
      </c>
      <c r="F7" s="152"/>
    </row>
    <row r="8" spans="1:10" s="146" customFormat="1" ht="24" hidden="1" customHeight="1">
      <c r="A8" s="154" t="s">
        <v>287</v>
      </c>
      <c r="D8" s="156"/>
      <c r="E8" s="151"/>
      <c r="F8" s="152"/>
    </row>
    <row r="9" spans="1:10" s="146" customFormat="1" ht="24" hidden="1" customHeight="1">
      <c r="A9" s="157"/>
      <c r="C9" s="157"/>
      <c r="E9" s="151" t="s">
        <v>288</v>
      </c>
      <c r="F9" s="152"/>
    </row>
    <row r="10" spans="1:10" s="146" customFormat="1" ht="24" hidden="1" customHeight="1">
      <c r="A10" s="155" t="s">
        <v>14</v>
      </c>
      <c r="D10" s="156"/>
      <c r="E10" s="151" t="s">
        <v>289</v>
      </c>
      <c r="F10" s="158">
        <v>384</v>
      </c>
    </row>
    <row r="11" spans="1:10" s="146" customFormat="1" ht="24" hidden="1" customHeight="1">
      <c r="A11" s="155" t="s">
        <v>290</v>
      </c>
      <c r="C11" s="159"/>
      <c r="D11" s="149"/>
      <c r="E11" s="160"/>
      <c r="F11" s="161"/>
    </row>
    <row r="12" spans="1:10">
      <c r="G12" s="163" t="s">
        <v>317</v>
      </c>
      <c r="I12" s="163" t="s">
        <v>317</v>
      </c>
    </row>
    <row r="13" spans="1:10" s="165" customFormat="1" ht="79.5" customHeight="1">
      <c r="A13" s="989" t="s">
        <v>803</v>
      </c>
      <c r="B13" s="989"/>
      <c r="C13" s="989"/>
      <c r="D13" s="989"/>
      <c r="E13" s="989"/>
      <c r="F13" s="989"/>
      <c r="G13" s="989"/>
      <c r="H13" s="989"/>
      <c r="I13" s="989"/>
    </row>
    <row r="14" spans="1:10" ht="20.100000000000001" customHeight="1">
      <c r="A14" s="810" t="s">
        <v>14</v>
      </c>
    </row>
    <row r="15" spans="1:10">
      <c r="A15" s="994" t="s">
        <v>300</v>
      </c>
      <c r="B15" s="978"/>
      <c r="C15" s="972" t="s">
        <v>1121</v>
      </c>
      <c r="D15" s="977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15" s="978"/>
      <c r="F15" s="977" t="str">
        <f>"на 31 декабря " &amp; YEAR('Общие сведения'!$D$2)-1 &amp; " г."</f>
        <v>на 31 декабря 2025 г.</v>
      </c>
      <c r="G15" s="978"/>
      <c r="H15" s="990" t="str">
        <f>"на 31 декабря " &amp; YEAR('Общие сведения'!$D$2)-2 &amp; " г."</f>
        <v>на 31 декабря 2024 г.</v>
      </c>
      <c r="I15" s="990"/>
      <c r="J15" s="183"/>
    </row>
    <row r="16" spans="1:10" ht="63">
      <c r="A16" s="995"/>
      <c r="B16" s="996"/>
      <c r="C16" s="974"/>
      <c r="D16" s="260" t="s">
        <v>798</v>
      </c>
      <c r="E16" s="260" t="s">
        <v>797</v>
      </c>
      <c r="F16" s="260" t="s">
        <v>798</v>
      </c>
      <c r="G16" s="260" t="s">
        <v>797</v>
      </c>
      <c r="H16" s="549" t="s">
        <v>798</v>
      </c>
      <c r="I16" s="828" t="s">
        <v>797</v>
      </c>
      <c r="J16" s="183"/>
    </row>
    <row r="17" spans="1:11" ht="17.25" hidden="1" customHeight="1">
      <c r="A17" s="779" t="s">
        <v>1121</v>
      </c>
      <c r="B17" s="780"/>
      <c r="C17" s="780"/>
      <c r="D17" s="781" t="s">
        <v>1122</v>
      </c>
      <c r="E17" s="781" t="s">
        <v>1123</v>
      </c>
      <c r="F17" s="781" t="s">
        <v>1124</v>
      </c>
      <c r="G17" s="782" t="s">
        <v>1125</v>
      </c>
      <c r="J17" s="183"/>
      <c r="K17" s="745" t="s">
        <v>1139</v>
      </c>
    </row>
    <row r="18" spans="1:11" ht="58.5" customHeight="1">
      <c r="A18" s="1025" t="s">
        <v>804</v>
      </c>
      <c r="B18" s="1026"/>
      <c r="C18" s="712">
        <v>5</v>
      </c>
      <c r="D18" s="273">
        <f>D20+D21</f>
        <v>0</v>
      </c>
      <c r="E18" s="273">
        <f t="shared" ref="E18:I18" si="0">E20+E21</f>
        <v>0</v>
      </c>
      <c r="F18" s="273">
        <f t="shared" si="0"/>
        <v>0</v>
      </c>
      <c r="G18" s="776">
        <f t="shared" si="0"/>
        <v>0</v>
      </c>
      <c r="H18" s="559">
        <f t="shared" si="0"/>
        <v>0</v>
      </c>
      <c r="I18" s="835">
        <f t="shared" si="0"/>
        <v>0</v>
      </c>
      <c r="J18" s="183"/>
    </row>
    <row r="19" spans="1:11" ht="18" customHeight="1">
      <c r="A19" s="1029" t="s">
        <v>318</v>
      </c>
      <c r="B19" s="1030"/>
      <c r="C19" s="1030"/>
      <c r="D19" s="1030"/>
      <c r="E19" s="1030"/>
      <c r="F19" s="1030"/>
      <c r="G19" s="1031"/>
      <c r="H19" s="558"/>
      <c r="I19" s="558"/>
      <c r="J19" s="183"/>
    </row>
    <row r="20" spans="1:11" ht="33" customHeight="1">
      <c r="A20" s="1023" t="s">
        <v>313</v>
      </c>
      <c r="B20" s="1024"/>
      <c r="C20" s="713">
        <v>10</v>
      </c>
      <c r="D20" s="274"/>
      <c r="E20" s="274"/>
      <c r="F20" s="274"/>
      <c r="G20" s="274"/>
      <c r="H20" s="560"/>
      <c r="I20" s="836"/>
      <c r="J20" s="183"/>
    </row>
    <row r="21" spans="1:11" ht="34.5" customHeight="1">
      <c r="A21" s="1023" t="s">
        <v>314</v>
      </c>
      <c r="B21" s="1024"/>
      <c r="C21" s="713">
        <v>20</v>
      </c>
      <c r="D21" s="274"/>
      <c r="E21" s="274"/>
      <c r="F21" s="274"/>
      <c r="G21" s="274"/>
      <c r="H21" s="560"/>
      <c r="I21" s="836"/>
      <c r="J21" s="183"/>
    </row>
    <row r="22" spans="1:11" ht="56.25" customHeight="1">
      <c r="A22" s="1021" t="s">
        <v>855</v>
      </c>
      <c r="B22" s="1022"/>
      <c r="C22" s="713">
        <v>30</v>
      </c>
      <c r="D22" s="274"/>
      <c r="E22" s="274"/>
      <c r="F22" s="274"/>
      <c r="G22" s="274"/>
      <c r="H22" s="560"/>
      <c r="I22" s="836"/>
      <c r="J22" s="183"/>
    </row>
    <row r="23" spans="1:11" ht="60.75" customHeight="1">
      <c r="A23" s="1027" t="s">
        <v>856</v>
      </c>
      <c r="B23" s="1028"/>
      <c r="C23" s="714">
        <v>40</v>
      </c>
      <c r="D23" s="275"/>
      <c r="E23" s="275"/>
      <c r="F23" s="275"/>
      <c r="G23" s="275"/>
      <c r="H23" s="561"/>
      <c r="I23" s="837"/>
      <c r="J23" s="183"/>
    </row>
    <row r="24" spans="1:11" s="142" customFormat="1" ht="19.5" customHeight="1">
      <c r="A24" s="144"/>
      <c r="B24" s="174"/>
      <c r="C24" s="1020"/>
      <c r="D24" s="1020"/>
      <c r="E24" s="1020"/>
      <c r="F24" s="1020"/>
    </row>
    <row r="25" spans="1:11" s="45" customFormat="1" ht="20.25" customHeight="1">
      <c r="A25" s="175"/>
      <c r="B25" s="47"/>
      <c r="D25" s="46"/>
    </row>
  </sheetData>
  <mergeCells count="13">
    <mergeCell ref="A13:I13"/>
    <mergeCell ref="A15:B16"/>
    <mergeCell ref="C15:C16"/>
    <mergeCell ref="D15:E15"/>
    <mergeCell ref="F15:G15"/>
    <mergeCell ref="H15:I15"/>
    <mergeCell ref="C24:F24"/>
    <mergeCell ref="A22:B22"/>
    <mergeCell ref="A20:B20"/>
    <mergeCell ref="A18:B18"/>
    <mergeCell ref="A21:B21"/>
    <mergeCell ref="A23:B23"/>
    <mergeCell ref="A19:G19"/>
  </mergeCells>
  <pageMargins left="0.7" right="0.7" top="0.75" bottom="0.75" header="0.3" footer="0.3"/>
  <pageSetup paperSize="9" scale="8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 filterMode="1">
    <tabColor theme="8" tint="0.79998168889431442"/>
  </sheetPr>
  <dimension ref="A1:K20"/>
  <sheetViews>
    <sheetView zoomScale="75" zoomScaleNormal="75" workbookViewId="0">
      <selection activeCell="I53" sqref="I53"/>
    </sheetView>
  </sheetViews>
  <sheetFormatPr defaultColWidth="9.140625" defaultRowHeight="15.75"/>
  <cols>
    <col min="1" max="1" width="27.140625" style="145" customWidth="1"/>
    <col min="2" max="2" width="26.42578125" style="145" customWidth="1"/>
    <col min="3" max="3" width="9.28515625" style="145" hidden="1" customWidth="1"/>
    <col min="4" max="4" width="17.140625" style="145" customWidth="1"/>
    <col min="5" max="5" width="16.140625" style="145" customWidth="1"/>
    <col min="6" max="6" width="17.28515625" style="145" customWidth="1"/>
    <col min="7" max="7" width="16.5703125" style="145" customWidth="1"/>
    <col min="8" max="9" width="17.28515625" style="145" hidden="1" customWidth="1"/>
    <col min="10" max="10" width="3.85546875" style="145" customWidth="1"/>
    <col min="11" max="11" width="19.5703125" style="145" customWidth="1"/>
    <col min="12" max="16384" width="9.140625" style="145"/>
  </cols>
  <sheetData>
    <row r="1" spans="1:11" ht="22.5" customHeight="1"/>
    <row r="2" spans="1:11" s="146" customFormat="1" ht="24" hidden="1" customHeight="1">
      <c r="B2" s="147"/>
      <c r="D2" s="148"/>
      <c r="E2" s="149"/>
      <c r="F2" s="150" t="s">
        <v>12</v>
      </c>
    </row>
    <row r="3" spans="1:11" s="146" customFormat="1" ht="24" hidden="1" customHeight="1">
      <c r="B3" s="147"/>
      <c r="E3" s="151" t="s">
        <v>316</v>
      </c>
      <c r="F3" s="152" t="s">
        <v>13</v>
      </c>
    </row>
    <row r="4" spans="1:11" s="146" customFormat="1" ht="24" hidden="1" customHeight="1">
      <c r="B4" s="153"/>
      <c r="E4" s="151" t="s">
        <v>280</v>
      </c>
      <c r="F4" s="152"/>
    </row>
    <row r="5" spans="1:11" s="146" customFormat="1" ht="24" hidden="1" customHeight="1">
      <c r="A5" s="154" t="s">
        <v>281</v>
      </c>
      <c r="C5" s="154"/>
      <c r="D5" s="154"/>
      <c r="E5" s="151" t="s">
        <v>282</v>
      </c>
      <c r="F5" s="152"/>
    </row>
    <row r="6" spans="1:11" s="146" customFormat="1" ht="24" hidden="1" customHeight="1">
      <c r="A6" s="155" t="s">
        <v>283</v>
      </c>
      <c r="D6" s="156"/>
      <c r="E6" s="151" t="s">
        <v>284</v>
      </c>
      <c r="F6" s="152"/>
    </row>
    <row r="7" spans="1:11" s="146" customFormat="1" ht="24" hidden="1" customHeight="1">
      <c r="A7" s="154" t="s">
        <v>285</v>
      </c>
      <c r="C7" s="154"/>
      <c r="D7" s="154"/>
      <c r="E7" s="151" t="s">
        <v>286</v>
      </c>
      <c r="F7" s="152"/>
    </row>
    <row r="8" spans="1:11" s="146" customFormat="1" ht="24" hidden="1" customHeight="1">
      <c r="A8" s="154" t="s">
        <v>287</v>
      </c>
      <c r="D8" s="156"/>
      <c r="E8" s="151"/>
      <c r="F8" s="152"/>
    </row>
    <row r="9" spans="1:11" s="146" customFormat="1" ht="24" hidden="1" customHeight="1">
      <c r="A9" s="157"/>
      <c r="C9" s="157"/>
      <c r="E9" s="151" t="s">
        <v>288</v>
      </c>
      <c r="F9" s="152"/>
    </row>
    <row r="10" spans="1:11" s="146" customFormat="1" ht="24" hidden="1" customHeight="1">
      <c r="A10" s="155" t="s">
        <v>14</v>
      </c>
      <c r="D10" s="156"/>
      <c r="E10" s="151" t="s">
        <v>289</v>
      </c>
      <c r="F10" s="158">
        <v>384</v>
      </c>
    </row>
    <row r="11" spans="1:11" s="146" customFormat="1" ht="24" hidden="1" customHeight="1">
      <c r="A11" s="155" t="s">
        <v>290</v>
      </c>
      <c r="C11" s="159"/>
      <c r="D11" s="149"/>
      <c r="E11" s="160"/>
      <c r="F11" s="161"/>
    </row>
    <row r="12" spans="1:11">
      <c r="G12" s="163" t="s">
        <v>319</v>
      </c>
      <c r="I12" s="163" t="s">
        <v>319</v>
      </c>
    </row>
    <row r="13" spans="1:11" s="165" customFormat="1" ht="54.75" customHeight="1">
      <c r="A13" s="989" t="s">
        <v>1026</v>
      </c>
      <c r="B13" s="989"/>
      <c r="C13" s="989"/>
      <c r="D13" s="989"/>
      <c r="E13" s="989"/>
      <c r="F13" s="989"/>
      <c r="G13" s="989"/>
      <c r="H13" s="989"/>
      <c r="I13" s="989"/>
    </row>
    <row r="14" spans="1:11" ht="34.5" customHeight="1">
      <c r="A14" s="839" t="s">
        <v>14</v>
      </c>
    </row>
    <row r="15" spans="1:11" ht="42" customHeight="1">
      <c r="A15" s="1044" t="s">
        <v>300</v>
      </c>
      <c r="B15" s="1045"/>
      <c r="C15" s="742" t="s">
        <v>1121</v>
      </c>
      <c r="D15" s="1046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15" s="1047"/>
      <c r="F15" s="1046" t="str">
        <f>"на 31 декабря " &amp; YEAR('Общие сведения'!$D$2)-1 &amp; " г."</f>
        <v>на 31 декабря 2025 г.</v>
      </c>
      <c r="G15" s="1047"/>
      <c r="H15" s="1048" t="str">
        <f>"на 31 декабря " &amp; YEAR('Общие сведения'!$D$2)-2 &amp; " г."</f>
        <v>на 31 декабря 2024 г.</v>
      </c>
      <c r="I15" s="1049"/>
      <c r="J15" s="183"/>
    </row>
    <row r="16" spans="1:11" ht="18.75" hidden="1" customHeight="1">
      <c r="A16" s="795" t="s">
        <v>1121</v>
      </c>
      <c r="B16" s="796"/>
      <c r="C16" s="751"/>
      <c r="D16" s="797" t="s">
        <v>1122</v>
      </c>
      <c r="E16" s="797" t="s">
        <v>1123</v>
      </c>
      <c r="F16" s="797" t="s">
        <v>1124</v>
      </c>
      <c r="G16" s="798" t="s">
        <v>1125</v>
      </c>
      <c r="K16" s="745" t="s">
        <v>1139</v>
      </c>
    </row>
    <row r="17" spans="1:11" ht="61.9" customHeight="1">
      <c r="A17" s="966" t="s">
        <v>805</v>
      </c>
      <c r="B17" s="984"/>
      <c r="C17" s="716">
        <v>10</v>
      </c>
      <c r="D17" s="1041"/>
      <c r="E17" s="1042"/>
      <c r="F17" s="1041"/>
      <c r="G17" s="1042"/>
      <c r="H17" s="1041"/>
      <c r="I17" s="1043"/>
      <c r="J17" s="183"/>
    </row>
    <row r="18" spans="1:11" ht="16.5" hidden="1" customHeight="1">
      <c r="A18" s="1021"/>
      <c r="B18" s="1022"/>
      <c r="C18" s="716"/>
      <c r="D18" s="1036"/>
      <c r="E18" s="1037"/>
      <c r="F18" s="1036"/>
      <c r="G18" s="1038"/>
      <c r="H18" s="1039"/>
      <c r="I18" s="1040"/>
      <c r="K18" s="689" t="s">
        <v>1138</v>
      </c>
    </row>
    <row r="19" spans="1:11" ht="58.9" customHeight="1">
      <c r="A19" s="1021" t="s">
        <v>806</v>
      </c>
      <c r="B19" s="1022"/>
      <c r="C19" s="716">
        <v>20</v>
      </c>
      <c r="D19" s="1036"/>
      <c r="E19" s="1037"/>
      <c r="F19" s="1036"/>
      <c r="G19" s="1037"/>
      <c r="H19" s="1039"/>
      <c r="I19" s="1040"/>
      <c r="J19" s="183"/>
    </row>
    <row r="20" spans="1:11" ht="67.900000000000006" customHeight="1">
      <c r="A20" s="1027" t="s">
        <v>807</v>
      </c>
      <c r="B20" s="1028"/>
      <c r="C20" s="717">
        <v>30</v>
      </c>
      <c r="D20" s="1032"/>
      <c r="E20" s="1033"/>
      <c r="F20" s="1032"/>
      <c r="G20" s="1033"/>
      <c r="H20" s="1034"/>
      <c r="I20" s="1035"/>
      <c r="J20" s="183"/>
    </row>
  </sheetData>
  <autoFilter ref="K16:K20">
    <filterColumn colId="0">
      <filters blank="1"/>
    </filterColumn>
  </autoFilter>
  <mergeCells count="21">
    <mergeCell ref="A17:B17"/>
    <mergeCell ref="D17:E17"/>
    <mergeCell ref="F17:G17"/>
    <mergeCell ref="H17:I17"/>
    <mergeCell ref="A13:I13"/>
    <mergeCell ref="A15:B15"/>
    <mergeCell ref="D15:E15"/>
    <mergeCell ref="F15:G15"/>
    <mergeCell ref="H15:I15"/>
    <mergeCell ref="A20:B20"/>
    <mergeCell ref="D20:E20"/>
    <mergeCell ref="F20:G20"/>
    <mergeCell ref="H20:I20"/>
    <mergeCell ref="A18:B18"/>
    <mergeCell ref="D18:E18"/>
    <mergeCell ref="F18:G18"/>
    <mergeCell ref="H18:I18"/>
    <mergeCell ref="A19:B19"/>
    <mergeCell ref="D19:E19"/>
    <mergeCell ref="F19:G19"/>
    <mergeCell ref="H19:I19"/>
  </mergeCells>
  <pageMargins left="0.68" right="0.24" top="0.59" bottom="0.42" header="0.4" footer="0.5"/>
  <pageSetup paperSize="9" scale="80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 filterMode="1">
    <tabColor theme="8" tint="0.79998168889431442"/>
    <pageSetUpPr fitToPage="1"/>
  </sheetPr>
  <dimension ref="A1:Q45"/>
  <sheetViews>
    <sheetView topLeftCell="A13" zoomScale="75" zoomScaleNormal="100" workbookViewId="0">
      <selection activeCell="I53" sqref="I53"/>
    </sheetView>
  </sheetViews>
  <sheetFormatPr defaultColWidth="9.140625" defaultRowHeight="15.75"/>
  <cols>
    <col min="1" max="1" width="39.7109375" style="145" customWidth="1"/>
    <col min="2" max="2" width="8.42578125" style="282" hidden="1" customWidth="1"/>
    <col min="3" max="3" width="17" style="282" customWidth="1"/>
    <col min="4" max="4" width="17.85546875" style="145" customWidth="1"/>
    <col min="5" max="5" width="15.42578125" style="145" customWidth="1"/>
    <col min="6" max="6" width="14.85546875" style="145" customWidth="1"/>
    <col min="7" max="7" width="17.85546875" style="145" customWidth="1"/>
    <col min="8" max="8" width="13.42578125" style="145" customWidth="1"/>
    <col min="9" max="9" width="22.7109375" style="145" customWidth="1"/>
    <col min="10" max="10" width="17.7109375" style="145" customWidth="1"/>
    <col min="11" max="11" width="17.42578125" style="145" customWidth="1"/>
    <col min="12" max="12" width="13.5703125" style="145" customWidth="1"/>
    <col min="13" max="13" width="17.7109375" style="145" customWidth="1"/>
    <col min="14" max="14" width="16.7109375" style="145" customWidth="1"/>
    <col min="15" max="15" width="5.28515625" style="145" customWidth="1"/>
    <col min="16" max="16" width="21.28515625" style="788" customWidth="1"/>
    <col min="17" max="16384" width="9.140625" style="145"/>
  </cols>
  <sheetData>
    <row r="1" spans="1:17" s="146" customFormat="1" ht="24" hidden="1" customHeight="1">
      <c r="B1" s="178"/>
      <c r="C1" s="159"/>
      <c r="D1" s="179"/>
      <c r="E1" s="156"/>
      <c r="F1" s="161"/>
    </row>
    <row r="2" spans="1:17" s="146" customFormat="1" ht="24" hidden="1" customHeight="1">
      <c r="B2" s="178"/>
      <c r="C2" s="159"/>
      <c r="D2" s="179"/>
      <c r="E2" s="156"/>
      <c r="F2" s="161"/>
    </row>
    <row r="3" spans="1:17" s="146" customFormat="1" ht="24" hidden="1" customHeight="1">
      <c r="B3" s="147"/>
      <c r="C3" s="159"/>
      <c r="D3" s="148"/>
      <c r="E3" s="149"/>
      <c r="F3" s="150" t="s">
        <v>12</v>
      </c>
    </row>
    <row r="4" spans="1:17" s="146" customFormat="1" ht="24" hidden="1" customHeight="1">
      <c r="B4" s="147"/>
      <c r="C4" s="159"/>
      <c r="E4" s="151"/>
      <c r="F4" s="152" t="s">
        <v>13</v>
      </c>
    </row>
    <row r="5" spans="1:17" s="146" customFormat="1" ht="24" hidden="1" customHeight="1">
      <c r="B5" s="153"/>
      <c r="C5" s="159"/>
      <c r="E5" s="151" t="s">
        <v>280</v>
      </c>
      <c r="F5" s="152"/>
    </row>
    <row r="6" spans="1:17" s="146" customFormat="1" ht="24" hidden="1" customHeight="1">
      <c r="A6" s="154" t="s">
        <v>281</v>
      </c>
      <c r="C6" s="153"/>
      <c r="D6" s="154"/>
      <c r="E6" s="151" t="s">
        <v>282</v>
      </c>
      <c r="F6" s="152"/>
    </row>
    <row r="7" spans="1:17" s="146" customFormat="1" ht="24" hidden="1" customHeight="1">
      <c r="A7" s="155" t="s">
        <v>283</v>
      </c>
      <c r="C7" s="159"/>
      <c r="D7" s="156"/>
      <c r="E7" s="151" t="s">
        <v>284</v>
      </c>
      <c r="F7" s="152"/>
    </row>
    <row r="8" spans="1:17" s="146" customFormat="1" ht="24" hidden="1" customHeight="1">
      <c r="A8" s="154" t="s">
        <v>285</v>
      </c>
      <c r="C8" s="153"/>
      <c r="D8" s="154"/>
      <c r="E8" s="151" t="s">
        <v>286</v>
      </c>
      <c r="F8" s="152"/>
    </row>
    <row r="9" spans="1:17" s="146" customFormat="1" ht="24" hidden="1" customHeight="1">
      <c r="A9" s="154" t="s">
        <v>287</v>
      </c>
      <c r="C9" s="159"/>
      <c r="D9" s="156"/>
      <c r="E9" s="151"/>
      <c r="F9" s="152"/>
    </row>
    <row r="10" spans="1:17" s="146" customFormat="1" ht="24" hidden="1" customHeight="1">
      <c r="A10" s="157"/>
      <c r="C10" s="683"/>
      <c r="E10" s="151" t="s">
        <v>288</v>
      </c>
      <c r="F10" s="152"/>
    </row>
    <row r="11" spans="1:17" s="146" customFormat="1" ht="24" hidden="1" customHeight="1">
      <c r="A11" s="155" t="s">
        <v>14</v>
      </c>
      <c r="C11" s="159"/>
      <c r="D11" s="156"/>
      <c r="E11" s="151" t="s">
        <v>289</v>
      </c>
      <c r="F11" s="158">
        <v>384</v>
      </c>
    </row>
    <row r="12" spans="1:17" s="146" customFormat="1" ht="24" hidden="1" customHeight="1">
      <c r="A12" s="155" t="s">
        <v>290</v>
      </c>
      <c r="C12" s="159"/>
      <c r="D12" s="149"/>
      <c r="E12" s="160"/>
      <c r="F12" s="161"/>
    </row>
    <row r="13" spans="1:17" ht="24" customHeight="1">
      <c r="N13" s="163" t="s">
        <v>327</v>
      </c>
      <c r="Q13" s="282"/>
    </row>
    <row r="14" spans="1:17" ht="19.5" customHeight="1">
      <c r="A14" s="1055" t="s">
        <v>320</v>
      </c>
      <c r="B14" s="1055"/>
      <c r="C14" s="1055"/>
      <c r="D14" s="1055"/>
      <c r="E14" s="1055"/>
      <c r="F14" s="1055"/>
      <c r="G14" s="1055"/>
      <c r="H14" s="1055"/>
      <c r="I14" s="1055"/>
      <c r="J14" s="1055"/>
      <c r="K14" s="1055"/>
      <c r="L14" s="1055"/>
      <c r="M14" s="1055"/>
      <c r="N14" s="1055"/>
    </row>
    <row r="15" spans="1:17" ht="6.75" customHeight="1">
      <c r="A15" s="283"/>
      <c r="B15" s="284"/>
      <c r="C15" s="284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</row>
    <row r="16" spans="1:17" ht="19.5" customHeight="1">
      <c r="A16" s="1055" t="s">
        <v>321</v>
      </c>
      <c r="B16" s="1055"/>
      <c r="C16" s="1055"/>
      <c r="D16" s="1055"/>
      <c r="E16" s="1055"/>
      <c r="F16" s="1055"/>
      <c r="G16" s="1055"/>
      <c r="H16" s="1055"/>
      <c r="I16" s="1055"/>
      <c r="J16" s="1055"/>
      <c r="K16" s="1055"/>
      <c r="L16" s="1055"/>
      <c r="M16" s="1055"/>
      <c r="N16" s="1055"/>
    </row>
    <row r="17" spans="1:16" ht="20.100000000000001" customHeight="1">
      <c r="A17" s="810" t="s">
        <v>14</v>
      </c>
    </row>
    <row r="18" spans="1:16" ht="15.75" customHeight="1">
      <c r="A18" s="1056" t="s">
        <v>0</v>
      </c>
      <c r="B18" s="1059" t="s">
        <v>1121</v>
      </c>
      <c r="C18" s="1062" t="s">
        <v>293</v>
      </c>
      <c r="D18" s="1062" t="s">
        <v>294</v>
      </c>
      <c r="E18" s="1062"/>
      <c r="F18" s="977" t="s">
        <v>295</v>
      </c>
      <c r="G18" s="979"/>
      <c r="H18" s="979"/>
      <c r="I18" s="979"/>
      <c r="J18" s="979"/>
      <c r="K18" s="979"/>
      <c r="L18" s="978"/>
      <c r="M18" s="1062" t="s">
        <v>296</v>
      </c>
      <c r="N18" s="1064"/>
    </row>
    <row r="19" spans="1:16" ht="17.25" customHeight="1">
      <c r="A19" s="1057"/>
      <c r="B19" s="1060"/>
      <c r="C19" s="1063"/>
      <c r="D19" s="1065" t="s">
        <v>297</v>
      </c>
      <c r="E19" s="1065" t="s">
        <v>1148</v>
      </c>
      <c r="F19" s="1063" t="s">
        <v>832</v>
      </c>
      <c r="G19" s="1063" t="s">
        <v>322</v>
      </c>
      <c r="H19" s="1063"/>
      <c r="I19" s="1063" t="s">
        <v>1162</v>
      </c>
      <c r="J19" s="1063" t="s">
        <v>841</v>
      </c>
      <c r="K19" s="957" t="s">
        <v>840</v>
      </c>
      <c r="L19" s="958"/>
      <c r="M19" s="1065" t="s">
        <v>297</v>
      </c>
      <c r="N19" s="1053" t="s">
        <v>1149</v>
      </c>
    </row>
    <row r="20" spans="1:16" ht="72.75" customHeight="1">
      <c r="A20" s="1058"/>
      <c r="B20" s="1061"/>
      <c r="C20" s="959"/>
      <c r="D20" s="1066"/>
      <c r="E20" s="1066"/>
      <c r="F20" s="959"/>
      <c r="G20" s="330" t="s">
        <v>297</v>
      </c>
      <c r="H20" s="330" t="s">
        <v>857</v>
      </c>
      <c r="I20" s="959"/>
      <c r="J20" s="959"/>
      <c r="K20" s="329" t="s">
        <v>297</v>
      </c>
      <c r="L20" s="329" t="s">
        <v>857</v>
      </c>
      <c r="M20" s="1066"/>
      <c r="N20" s="1054"/>
    </row>
    <row r="21" spans="1:16" s="146" customFormat="1" ht="21" hidden="1" customHeight="1">
      <c r="A21" s="752" t="s">
        <v>1121</v>
      </c>
      <c r="B21" s="757"/>
      <c r="C21" s="758"/>
      <c r="D21" s="740" t="s">
        <v>1122</v>
      </c>
      <c r="E21" s="740" t="s">
        <v>1123</v>
      </c>
      <c r="F21" s="740" t="s">
        <v>1124</v>
      </c>
      <c r="G21" s="740" t="s">
        <v>1125</v>
      </c>
      <c r="H21" s="740" t="s">
        <v>1126</v>
      </c>
      <c r="I21" s="740" t="s">
        <v>1127</v>
      </c>
      <c r="J21" s="740" t="s">
        <v>1128</v>
      </c>
      <c r="K21" s="740" t="s">
        <v>1129</v>
      </c>
      <c r="L21" s="740" t="s">
        <v>1130</v>
      </c>
      <c r="M21" s="740" t="s">
        <v>1131</v>
      </c>
      <c r="N21" s="753" t="s">
        <v>1132</v>
      </c>
      <c r="O21" s="317"/>
      <c r="P21" s="749" t="s">
        <v>1137</v>
      </c>
    </row>
    <row r="22" spans="1:16" ht="32.1" customHeight="1">
      <c r="A22" s="965" t="s">
        <v>323</v>
      </c>
      <c r="B22" s="718">
        <v>10</v>
      </c>
      <c r="C22" s="676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2" s="285">
        <f>D25+D27+D29+D31+D33</f>
        <v>0</v>
      </c>
      <c r="E22" s="285">
        <f t="shared" ref="E22:L22" si="0">E25+E27+E29+E31+E33</f>
        <v>0</v>
      </c>
      <c r="F22" s="285">
        <f t="shared" si="0"/>
        <v>0</v>
      </c>
      <c r="G22" s="285">
        <f t="shared" si="0"/>
        <v>0</v>
      </c>
      <c r="H22" s="285">
        <f t="shared" si="0"/>
        <v>0</v>
      </c>
      <c r="I22" s="285">
        <f t="shared" si="0"/>
        <v>0</v>
      </c>
      <c r="J22" s="285">
        <f t="shared" si="0"/>
        <v>0</v>
      </c>
      <c r="K22" s="285">
        <f>K25+K27+K29+K31+K33</f>
        <v>0</v>
      </c>
      <c r="L22" s="285">
        <f t="shared" si="0"/>
        <v>0</v>
      </c>
      <c r="M22" s="285">
        <f t="shared" ref="M22:N22" si="1">M25+M27+M29+M31+M33</f>
        <v>0</v>
      </c>
      <c r="N22" s="286">
        <f t="shared" si="1"/>
        <v>0</v>
      </c>
      <c r="P22" s="792"/>
    </row>
    <row r="23" spans="1:16" ht="32.1" hidden="1" customHeight="1">
      <c r="A23" s="966"/>
      <c r="B23" s="719">
        <v>11</v>
      </c>
      <c r="C23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3" s="562">
        <f>D26+D28+D30+D32+D34</f>
        <v>0</v>
      </c>
      <c r="E23" s="562">
        <f t="shared" ref="E23:L23" si="2">E26+E28+E30+E32+E34</f>
        <v>0</v>
      </c>
      <c r="F23" s="562">
        <f t="shared" si="2"/>
        <v>0</v>
      </c>
      <c r="G23" s="562">
        <f t="shared" si="2"/>
        <v>0</v>
      </c>
      <c r="H23" s="299">
        <f t="shared" si="2"/>
        <v>0</v>
      </c>
      <c r="I23" s="299">
        <f t="shared" si="2"/>
        <v>0</v>
      </c>
      <c r="J23" s="299">
        <f t="shared" si="2"/>
        <v>0</v>
      </c>
      <c r="K23" s="328">
        <f t="shared" si="2"/>
        <v>0</v>
      </c>
      <c r="L23" s="328">
        <f t="shared" si="2"/>
        <v>0</v>
      </c>
      <c r="M23" s="299">
        <f t="shared" ref="M23:N23" si="3">M26+M28+M30+M32+M34</f>
        <v>0</v>
      </c>
      <c r="N23" s="300">
        <f t="shared" si="3"/>
        <v>0</v>
      </c>
      <c r="P23" s="788" t="s">
        <v>1136</v>
      </c>
    </row>
    <row r="24" spans="1:16" ht="18" customHeight="1">
      <c r="A24" s="759" t="s">
        <v>207</v>
      </c>
      <c r="B24" s="720"/>
      <c r="C24" s="287"/>
      <c r="D24" s="288"/>
      <c r="E24" s="288"/>
      <c r="F24" s="288"/>
      <c r="G24" s="288"/>
      <c r="H24" s="288"/>
      <c r="I24" s="288"/>
      <c r="J24" s="288"/>
      <c r="K24" s="288"/>
      <c r="L24" s="288"/>
      <c r="M24" s="228"/>
      <c r="N24" s="301"/>
    </row>
    <row r="25" spans="1:16" ht="32.1" customHeight="1">
      <c r="A25" s="981" t="s">
        <v>2</v>
      </c>
      <c r="B25" s="719">
        <v>20</v>
      </c>
      <c r="C25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5" s="299"/>
      <c r="E25" s="299"/>
      <c r="F25" s="299"/>
      <c r="G25" s="299"/>
      <c r="H25" s="299"/>
      <c r="I25" s="299">
        <v>0</v>
      </c>
      <c r="J25" s="299"/>
      <c r="K25" s="306"/>
      <c r="L25" s="306"/>
      <c r="M25" s="289">
        <f>D25+F25+G25+I25+K25</f>
        <v>0</v>
      </c>
      <c r="N25" s="290">
        <f>E25+H25+J25+L25</f>
        <v>0</v>
      </c>
    </row>
    <row r="26" spans="1:16" ht="32.1" hidden="1" customHeight="1">
      <c r="A26" s="982"/>
      <c r="B26" s="719">
        <v>21</v>
      </c>
      <c r="C26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6" s="299"/>
      <c r="E26" s="299"/>
      <c r="F26" s="299"/>
      <c r="G26" s="299"/>
      <c r="H26" s="299"/>
      <c r="I26" s="299">
        <v>0</v>
      </c>
      <c r="J26" s="299"/>
      <c r="K26" s="306"/>
      <c r="L26" s="306"/>
      <c r="M26" s="323">
        <f t="shared" ref="M26:M34" si="4">D26+F26+G26+I26+K26</f>
        <v>0</v>
      </c>
      <c r="N26" s="290">
        <f t="shared" ref="N26:N34" si="5">E26+H26+J26+L26</f>
        <v>0</v>
      </c>
      <c r="P26" s="788" t="s">
        <v>1136</v>
      </c>
    </row>
    <row r="27" spans="1:16" ht="32.1" customHeight="1">
      <c r="A27" s="981" t="s">
        <v>3</v>
      </c>
      <c r="B27" s="719">
        <v>30</v>
      </c>
      <c r="C27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7" s="299"/>
      <c r="E27" s="299"/>
      <c r="F27" s="299"/>
      <c r="G27" s="299"/>
      <c r="H27" s="299"/>
      <c r="I27" s="299">
        <v>0</v>
      </c>
      <c r="J27" s="299"/>
      <c r="K27" s="306"/>
      <c r="L27" s="306"/>
      <c r="M27" s="323">
        <f t="shared" si="4"/>
        <v>0</v>
      </c>
      <c r="N27" s="290">
        <f t="shared" si="5"/>
        <v>0</v>
      </c>
    </row>
    <row r="28" spans="1:16" ht="32.1" hidden="1" customHeight="1">
      <c r="A28" s="982"/>
      <c r="B28" s="719">
        <v>31</v>
      </c>
      <c r="C28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8" s="299"/>
      <c r="E28" s="299"/>
      <c r="F28" s="299"/>
      <c r="G28" s="299"/>
      <c r="H28" s="299"/>
      <c r="I28" s="299">
        <v>0</v>
      </c>
      <c r="J28" s="299"/>
      <c r="K28" s="306"/>
      <c r="L28" s="306"/>
      <c r="M28" s="323">
        <f t="shared" si="4"/>
        <v>0</v>
      </c>
      <c r="N28" s="290">
        <f t="shared" si="5"/>
        <v>0</v>
      </c>
      <c r="P28" s="788" t="s">
        <v>1136</v>
      </c>
    </row>
    <row r="29" spans="1:16" ht="32.1" customHeight="1">
      <c r="A29" s="981" t="s">
        <v>4</v>
      </c>
      <c r="B29" s="719">
        <v>40</v>
      </c>
      <c r="C29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9" s="299"/>
      <c r="E29" s="299"/>
      <c r="F29" s="299"/>
      <c r="G29" s="299"/>
      <c r="H29" s="299"/>
      <c r="I29" s="299">
        <v>0</v>
      </c>
      <c r="J29" s="299"/>
      <c r="K29" s="306"/>
      <c r="L29" s="306"/>
      <c r="M29" s="323">
        <f t="shared" si="4"/>
        <v>0</v>
      </c>
      <c r="N29" s="290">
        <f t="shared" si="5"/>
        <v>0</v>
      </c>
    </row>
    <row r="30" spans="1:16" ht="32.1" hidden="1" customHeight="1">
      <c r="A30" s="982"/>
      <c r="B30" s="719">
        <v>41</v>
      </c>
      <c r="C30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0" s="299"/>
      <c r="E30" s="299"/>
      <c r="F30" s="299"/>
      <c r="G30" s="299"/>
      <c r="H30" s="299"/>
      <c r="I30" s="299">
        <v>0</v>
      </c>
      <c r="J30" s="299"/>
      <c r="K30" s="306"/>
      <c r="L30" s="306"/>
      <c r="M30" s="323">
        <f t="shared" si="4"/>
        <v>0</v>
      </c>
      <c r="N30" s="290">
        <f t="shared" si="5"/>
        <v>0</v>
      </c>
      <c r="P30" s="788" t="s">
        <v>1136</v>
      </c>
    </row>
    <row r="31" spans="1:16" ht="32.1" customHeight="1">
      <c r="A31" s="981" t="s">
        <v>879</v>
      </c>
      <c r="B31" s="719">
        <v>50</v>
      </c>
      <c r="C31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1" s="299"/>
      <c r="E31" s="299"/>
      <c r="F31" s="299"/>
      <c r="G31" s="299"/>
      <c r="H31" s="299"/>
      <c r="I31" s="299"/>
      <c r="J31" s="299"/>
      <c r="K31" s="306"/>
      <c r="L31" s="306"/>
      <c r="M31" s="323">
        <f t="shared" si="4"/>
        <v>0</v>
      </c>
      <c r="N31" s="290">
        <f t="shared" si="5"/>
        <v>0</v>
      </c>
    </row>
    <row r="32" spans="1:16" ht="32.1" hidden="1" customHeight="1">
      <c r="A32" s="982"/>
      <c r="B32" s="719">
        <v>51</v>
      </c>
      <c r="C32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2" s="299"/>
      <c r="E32" s="299"/>
      <c r="F32" s="299"/>
      <c r="G32" s="299"/>
      <c r="H32" s="299"/>
      <c r="I32" s="299"/>
      <c r="J32" s="299"/>
      <c r="K32" s="306"/>
      <c r="L32" s="306"/>
      <c r="M32" s="323">
        <f t="shared" si="4"/>
        <v>0</v>
      </c>
      <c r="N32" s="290">
        <f t="shared" si="5"/>
        <v>0</v>
      </c>
      <c r="P32" s="788" t="s">
        <v>1136</v>
      </c>
    </row>
    <row r="33" spans="1:16" ht="32.1" customHeight="1">
      <c r="A33" s="981" t="s">
        <v>332</v>
      </c>
      <c r="B33" s="719">
        <v>60</v>
      </c>
      <c r="C33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3" s="299"/>
      <c r="E33" s="299"/>
      <c r="F33" s="299"/>
      <c r="G33" s="299"/>
      <c r="H33" s="299"/>
      <c r="I33" s="299"/>
      <c r="J33" s="299"/>
      <c r="K33" s="306"/>
      <c r="L33" s="306"/>
      <c r="M33" s="323">
        <f t="shared" si="4"/>
        <v>0</v>
      </c>
      <c r="N33" s="290">
        <f t="shared" si="5"/>
        <v>0</v>
      </c>
    </row>
    <row r="34" spans="1:16" ht="32.25" hidden="1" customHeight="1">
      <c r="A34" s="982"/>
      <c r="B34" s="719">
        <v>61</v>
      </c>
      <c r="C34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4" s="299"/>
      <c r="E34" s="299"/>
      <c r="F34" s="299"/>
      <c r="G34" s="299"/>
      <c r="H34" s="299"/>
      <c r="I34" s="299"/>
      <c r="J34" s="299"/>
      <c r="K34" s="306"/>
      <c r="L34" s="306"/>
      <c r="M34" s="323">
        <f t="shared" si="4"/>
        <v>0</v>
      </c>
      <c r="N34" s="290">
        <f t="shared" si="5"/>
        <v>0</v>
      </c>
      <c r="P34" s="745"/>
    </row>
    <row r="35" spans="1:16" ht="32.1" customHeight="1">
      <c r="A35" s="1052" t="s">
        <v>324</v>
      </c>
      <c r="B35" s="719">
        <v>70</v>
      </c>
      <c r="C35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5" s="299">
        <f t="shared" ref="D35:N36" si="6">D39+D41</f>
        <v>0</v>
      </c>
      <c r="E35" s="299">
        <f t="shared" si="6"/>
        <v>0</v>
      </c>
      <c r="F35" s="299">
        <f t="shared" si="6"/>
        <v>0</v>
      </c>
      <c r="G35" s="299">
        <f t="shared" si="6"/>
        <v>0</v>
      </c>
      <c r="H35" s="299">
        <f t="shared" si="6"/>
        <v>0</v>
      </c>
      <c r="I35" s="299">
        <f t="shared" si="6"/>
        <v>0</v>
      </c>
      <c r="J35" s="299">
        <f t="shared" si="6"/>
        <v>0</v>
      </c>
      <c r="K35" s="328">
        <f t="shared" ref="K35:L35" si="7">K39+K41</f>
        <v>0</v>
      </c>
      <c r="L35" s="328">
        <f t="shared" si="7"/>
        <v>0</v>
      </c>
      <c r="M35" s="289">
        <f t="shared" si="6"/>
        <v>0</v>
      </c>
      <c r="N35" s="290">
        <f t="shared" si="6"/>
        <v>0</v>
      </c>
    </row>
    <row r="36" spans="1:16" ht="32.1" hidden="1" customHeight="1">
      <c r="A36" s="966"/>
      <c r="B36" s="719">
        <v>71</v>
      </c>
      <c r="C36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6" s="299">
        <f t="shared" si="6"/>
        <v>0</v>
      </c>
      <c r="E36" s="299">
        <f t="shared" si="6"/>
        <v>0</v>
      </c>
      <c r="F36" s="299">
        <f t="shared" si="6"/>
        <v>0</v>
      </c>
      <c r="G36" s="299">
        <f t="shared" si="6"/>
        <v>0</v>
      </c>
      <c r="H36" s="299">
        <f t="shared" si="6"/>
        <v>0</v>
      </c>
      <c r="I36" s="299">
        <f t="shared" si="6"/>
        <v>0</v>
      </c>
      <c r="J36" s="299">
        <f t="shared" si="6"/>
        <v>0</v>
      </c>
      <c r="K36" s="328">
        <f t="shared" ref="K36:L36" si="8">K40+K42</f>
        <v>0</v>
      </c>
      <c r="L36" s="328">
        <f t="shared" si="8"/>
        <v>0</v>
      </c>
      <c r="M36" s="289">
        <f t="shared" si="6"/>
        <v>0</v>
      </c>
      <c r="N36" s="290">
        <f t="shared" si="6"/>
        <v>0</v>
      </c>
      <c r="P36" s="788" t="s">
        <v>1136</v>
      </c>
    </row>
    <row r="37" spans="1:16" ht="18" customHeight="1">
      <c r="A37" s="759" t="s">
        <v>207</v>
      </c>
      <c r="B37" s="720"/>
      <c r="C37" s="287"/>
      <c r="D37" s="288"/>
      <c r="E37" s="288"/>
      <c r="F37" s="288"/>
      <c r="G37" s="288"/>
      <c r="H37" s="288"/>
      <c r="I37" s="288"/>
      <c r="J37" s="288"/>
      <c r="K37" s="288"/>
      <c r="L37" s="288"/>
      <c r="M37" s="228"/>
      <c r="N37" s="301"/>
    </row>
    <row r="38" spans="1:16" hidden="1">
      <c r="A38" s="298" t="s">
        <v>325</v>
      </c>
      <c r="B38" s="721"/>
      <c r="C38" s="287" t="s">
        <v>1138</v>
      </c>
      <c r="D38" s="288"/>
      <c r="E38" s="288"/>
      <c r="F38" s="288"/>
      <c r="G38" s="288"/>
      <c r="H38" s="288"/>
      <c r="I38" s="288"/>
      <c r="J38" s="288"/>
      <c r="K38" s="288"/>
      <c r="L38" s="288"/>
      <c r="M38" s="289">
        <f>D38+F38+G38+I38</f>
        <v>0</v>
      </c>
      <c r="N38" s="290">
        <f>E38+H38+J38</f>
        <v>0</v>
      </c>
      <c r="P38" s="145" t="s">
        <v>1138</v>
      </c>
    </row>
    <row r="39" spans="1:16" ht="32.1" customHeight="1">
      <c r="A39" s="981" t="s">
        <v>879</v>
      </c>
      <c r="B39" s="719">
        <v>80</v>
      </c>
      <c r="C39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9" s="299"/>
      <c r="E39" s="299"/>
      <c r="F39" s="299"/>
      <c r="G39" s="299"/>
      <c r="H39" s="299"/>
      <c r="I39" s="299"/>
      <c r="J39" s="299"/>
      <c r="K39" s="306"/>
      <c r="L39" s="306"/>
      <c r="M39" s="289">
        <f>D39+F39+G39+I39+K39</f>
        <v>0</v>
      </c>
      <c r="N39" s="290">
        <f>E39+H39+J39+L39</f>
        <v>0</v>
      </c>
    </row>
    <row r="40" spans="1:16" ht="32.1" hidden="1" customHeight="1">
      <c r="A40" s="982"/>
      <c r="B40" s="719">
        <v>81</v>
      </c>
      <c r="C40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0" s="299"/>
      <c r="E40" s="299"/>
      <c r="F40" s="299"/>
      <c r="G40" s="299"/>
      <c r="H40" s="299"/>
      <c r="I40" s="299"/>
      <c r="J40" s="299"/>
      <c r="K40" s="306"/>
      <c r="L40" s="306"/>
      <c r="M40" s="323">
        <f t="shared" ref="M40:M42" si="9">D40+F40+G40+I40+K40</f>
        <v>0</v>
      </c>
      <c r="N40" s="290">
        <f t="shared" ref="N40:N42" si="10">E40+H40+J40+L40</f>
        <v>0</v>
      </c>
      <c r="P40" s="788" t="s">
        <v>1136</v>
      </c>
    </row>
    <row r="41" spans="1:16" ht="32.1" customHeight="1">
      <c r="A41" s="981" t="s">
        <v>808</v>
      </c>
      <c r="B41" s="719">
        <v>90</v>
      </c>
      <c r="C41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1" s="299"/>
      <c r="E41" s="299"/>
      <c r="F41" s="299"/>
      <c r="G41" s="299"/>
      <c r="H41" s="299"/>
      <c r="I41" s="299"/>
      <c r="J41" s="299"/>
      <c r="K41" s="306"/>
      <c r="L41" s="306"/>
      <c r="M41" s="323">
        <f t="shared" si="9"/>
        <v>0</v>
      </c>
      <c r="N41" s="290">
        <f t="shared" si="10"/>
        <v>0</v>
      </c>
    </row>
    <row r="42" spans="1:16" ht="32.1" hidden="1" customHeight="1">
      <c r="A42" s="982"/>
      <c r="B42" s="719">
        <v>91</v>
      </c>
      <c r="C42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2" s="299"/>
      <c r="E42" s="299"/>
      <c r="F42" s="299"/>
      <c r="G42" s="299"/>
      <c r="H42" s="299"/>
      <c r="I42" s="299"/>
      <c r="J42" s="299"/>
      <c r="K42" s="306"/>
      <c r="L42" s="306"/>
      <c r="M42" s="323">
        <f t="shared" si="9"/>
        <v>0</v>
      </c>
      <c r="N42" s="290">
        <f t="shared" si="10"/>
        <v>0</v>
      </c>
      <c r="P42" s="788" t="s">
        <v>1136</v>
      </c>
    </row>
    <row r="43" spans="1:16" ht="32.1" customHeight="1">
      <c r="A43" s="1050" t="s">
        <v>326</v>
      </c>
      <c r="B43" s="722">
        <v>100</v>
      </c>
      <c r="C43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43" s="323">
        <f t="shared" ref="D43:J44" si="11">D22+D35</f>
        <v>0</v>
      </c>
      <c r="E43" s="323">
        <f t="shared" si="11"/>
        <v>0</v>
      </c>
      <c r="F43" s="323">
        <f t="shared" si="11"/>
        <v>0</v>
      </c>
      <c r="G43" s="323">
        <f t="shared" si="11"/>
        <v>0</v>
      </c>
      <c r="H43" s="323">
        <f t="shared" si="11"/>
        <v>0</v>
      </c>
      <c r="I43" s="323">
        <f t="shared" si="11"/>
        <v>0</v>
      </c>
      <c r="J43" s="323">
        <f t="shared" si="11"/>
        <v>0</v>
      </c>
      <c r="K43" s="323">
        <f t="shared" ref="K43:L43" si="12">K22+K35</f>
        <v>0</v>
      </c>
      <c r="L43" s="323">
        <f t="shared" si="12"/>
        <v>0</v>
      </c>
      <c r="M43" s="323">
        <f>D43+F43+G43+I43+K43</f>
        <v>0</v>
      </c>
      <c r="N43" s="290">
        <f>E43+H43+J43+L43</f>
        <v>0</v>
      </c>
    </row>
    <row r="44" spans="1:16" ht="32.1" hidden="1" customHeight="1">
      <c r="A44" s="1051"/>
      <c r="B44" s="746">
        <v>101</v>
      </c>
      <c r="C44" s="674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44" s="563">
        <f t="shared" si="11"/>
        <v>0</v>
      </c>
      <c r="E44" s="563">
        <f t="shared" si="11"/>
        <v>0</v>
      </c>
      <c r="F44" s="563">
        <f t="shared" si="11"/>
        <v>0</v>
      </c>
      <c r="G44" s="563">
        <f t="shared" si="11"/>
        <v>0</v>
      </c>
      <c r="H44" s="563">
        <f t="shared" si="11"/>
        <v>0</v>
      </c>
      <c r="I44" s="563">
        <f t="shared" si="11"/>
        <v>0</v>
      </c>
      <c r="J44" s="563">
        <f t="shared" si="11"/>
        <v>0</v>
      </c>
      <c r="K44" s="563">
        <f t="shared" ref="K44:L44" si="13">K23+K36</f>
        <v>0</v>
      </c>
      <c r="L44" s="563">
        <f t="shared" si="13"/>
        <v>0</v>
      </c>
      <c r="M44" s="563">
        <f t="shared" ref="M44" si="14">D44+F44+G44+I44+K44</f>
        <v>0</v>
      </c>
      <c r="N44" s="564">
        <f t="shared" ref="N44" si="15">E44+H44+J44+L44</f>
        <v>0</v>
      </c>
      <c r="P44" s="788" t="s">
        <v>1136</v>
      </c>
    </row>
    <row r="45" spans="1:16">
      <c r="A45" s="827"/>
      <c r="C45" s="834"/>
      <c r="D45" s="827"/>
      <c r="E45" s="827"/>
      <c r="F45" s="827"/>
      <c r="G45" s="827"/>
      <c r="H45" s="827"/>
      <c r="I45" s="827"/>
      <c r="J45" s="827"/>
      <c r="K45" s="827"/>
      <c r="L45" s="827"/>
      <c r="M45" s="827"/>
      <c r="N45" s="827"/>
    </row>
  </sheetData>
  <autoFilter ref="P21:P44">
    <filterColumn colId="0">
      <filters blank="1"/>
    </filterColumn>
  </autoFilter>
  <mergeCells count="27">
    <mergeCell ref="A14:N14"/>
    <mergeCell ref="A16:N16"/>
    <mergeCell ref="A18:A20"/>
    <mergeCell ref="B18:B20"/>
    <mergeCell ref="C18:C20"/>
    <mergeCell ref="D18:E18"/>
    <mergeCell ref="M18:N18"/>
    <mergeCell ref="D19:D20"/>
    <mergeCell ref="E19:E20"/>
    <mergeCell ref="F19:F20"/>
    <mergeCell ref="G19:H19"/>
    <mergeCell ref="I19:I20"/>
    <mergeCell ref="J19:J20"/>
    <mergeCell ref="M19:M20"/>
    <mergeCell ref="K19:L19"/>
    <mergeCell ref="F18:L18"/>
    <mergeCell ref="N19:N20"/>
    <mergeCell ref="A25:A26"/>
    <mergeCell ref="A27:A28"/>
    <mergeCell ref="A29:A30"/>
    <mergeCell ref="A22:A23"/>
    <mergeCell ref="A43:A44"/>
    <mergeCell ref="A35:A36"/>
    <mergeCell ref="A31:A32"/>
    <mergeCell ref="A33:A34"/>
    <mergeCell ref="A41:A42"/>
    <mergeCell ref="A39:A40"/>
  </mergeCells>
  <pageMargins left="0.23622047244094491" right="0.23622047244094491" top="0.35433070866141736" bottom="0.35433070866141736" header="0.31496062992125984" footer="0.31496062992125984"/>
  <pageSetup paperSize="9" scale="60" orientation="landscape" r:id="rId1"/>
  <headerFooter alignWithMargins="0"/>
  <ignoredErrors>
    <ignoredError sqref="C26:C28 C37 C40:C42 C29:C34 C35 C43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theme="8" tint="0.79998168889431442"/>
    <pageSetUpPr fitToPage="1"/>
  </sheetPr>
  <dimension ref="A1:K36"/>
  <sheetViews>
    <sheetView topLeftCell="A12" zoomScale="75" zoomScaleNormal="100" workbookViewId="0">
      <selection activeCell="I53" sqref="I53"/>
    </sheetView>
  </sheetViews>
  <sheetFormatPr defaultColWidth="9.140625" defaultRowHeight="15.75"/>
  <cols>
    <col min="1" max="1" width="35.7109375" style="145" customWidth="1"/>
    <col min="2" max="2" width="8.42578125" style="145" customWidth="1"/>
    <col min="3" max="3" width="7.7109375" style="145" customWidth="1"/>
    <col min="4" max="4" width="8" style="145" hidden="1" customWidth="1"/>
    <col min="5" max="5" width="15.28515625" style="145" customWidth="1"/>
    <col min="6" max="6" width="14" style="145" customWidth="1"/>
    <col min="7" max="7" width="18.28515625" style="145" customWidth="1"/>
    <col min="8" max="8" width="14" style="145" customWidth="1"/>
    <col min="9" max="9" width="13.85546875" style="145" hidden="1" customWidth="1"/>
    <col min="10" max="10" width="16.140625" style="145" hidden="1" customWidth="1"/>
    <col min="11" max="11" width="16.5703125" style="145" customWidth="1"/>
    <col min="12" max="12" width="14.42578125" style="145" customWidth="1"/>
    <col min="13" max="13" width="13.42578125" style="145" customWidth="1"/>
    <col min="14" max="14" width="14.85546875" style="145" customWidth="1"/>
    <col min="15" max="16384" width="9.140625" style="145"/>
  </cols>
  <sheetData>
    <row r="1" spans="1:11" ht="6.75" hidden="1" customHeight="1"/>
    <row r="2" spans="1:11" s="146" customFormat="1" ht="24" hidden="1" customHeight="1">
      <c r="B2" s="147"/>
      <c r="D2" s="148"/>
      <c r="E2" s="149"/>
      <c r="F2" s="150" t="s">
        <v>12</v>
      </c>
    </row>
    <row r="3" spans="1:11" s="146" customFormat="1" ht="24" hidden="1" customHeight="1">
      <c r="B3" s="147"/>
      <c r="E3" s="151"/>
      <c r="F3" s="152" t="s">
        <v>13</v>
      </c>
    </row>
    <row r="4" spans="1:11" s="146" customFormat="1" ht="24" hidden="1" customHeight="1">
      <c r="B4" s="153"/>
      <c r="E4" s="151" t="s">
        <v>280</v>
      </c>
      <c r="F4" s="152"/>
    </row>
    <row r="5" spans="1:11" s="146" customFormat="1" ht="24" hidden="1" customHeight="1">
      <c r="A5" s="154" t="s">
        <v>281</v>
      </c>
      <c r="C5" s="154"/>
      <c r="D5" s="154"/>
      <c r="E5" s="151" t="s">
        <v>282</v>
      </c>
      <c r="F5" s="152"/>
    </row>
    <row r="6" spans="1:11" s="146" customFormat="1" ht="24" hidden="1" customHeight="1">
      <c r="A6" s="155" t="s">
        <v>283</v>
      </c>
      <c r="D6" s="156"/>
      <c r="E6" s="151" t="s">
        <v>284</v>
      </c>
      <c r="F6" s="152"/>
    </row>
    <row r="7" spans="1:11" s="146" customFormat="1" ht="24" hidden="1" customHeight="1">
      <c r="A7" s="154" t="s">
        <v>285</v>
      </c>
      <c r="C7" s="154"/>
      <c r="D7" s="154"/>
      <c r="E7" s="151" t="s">
        <v>286</v>
      </c>
      <c r="F7" s="152"/>
    </row>
    <row r="8" spans="1:11" s="146" customFormat="1" ht="24" hidden="1" customHeight="1">
      <c r="A8" s="154" t="s">
        <v>287</v>
      </c>
      <c r="D8" s="156"/>
      <c r="E8" s="151"/>
      <c r="F8" s="152"/>
    </row>
    <row r="9" spans="1:11" s="146" customFormat="1" ht="24" hidden="1" customHeight="1">
      <c r="A9" s="157"/>
      <c r="C9" s="157"/>
      <c r="E9" s="151" t="s">
        <v>288</v>
      </c>
      <c r="F9" s="152"/>
    </row>
    <row r="10" spans="1:11" s="146" customFormat="1" ht="24" hidden="1" customHeight="1">
      <c r="A10" s="155" t="s">
        <v>14</v>
      </c>
      <c r="D10" s="156"/>
      <c r="E10" s="151" t="s">
        <v>289</v>
      </c>
      <c r="F10" s="158">
        <v>384</v>
      </c>
    </row>
    <row r="11" spans="1:11" s="146" customFormat="1" ht="24" hidden="1" customHeight="1">
      <c r="A11" s="155" t="s">
        <v>290</v>
      </c>
      <c r="C11" s="159"/>
      <c r="D11" s="149"/>
      <c r="E11" s="160"/>
      <c r="F11" s="161"/>
    </row>
    <row r="12" spans="1:11">
      <c r="H12" s="163" t="s">
        <v>328</v>
      </c>
      <c r="J12" s="163" t="s">
        <v>328</v>
      </c>
    </row>
    <row r="13" spans="1:11" ht="28.5" customHeight="1">
      <c r="A13" s="1055" t="s">
        <v>329</v>
      </c>
      <c r="B13" s="1055"/>
      <c r="C13" s="1055"/>
      <c r="D13" s="1055"/>
      <c r="E13" s="1055"/>
      <c r="F13" s="1055"/>
      <c r="G13" s="1055"/>
      <c r="H13" s="1055"/>
      <c r="I13" s="1055"/>
    </row>
    <row r="14" spans="1:11" ht="20.100000000000001" customHeight="1">
      <c r="A14" s="839" t="s">
        <v>14</v>
      </c>
    </row>
    <row r="15" spans="1:11" ht="35.25" customHeight="1">
      <c r="A15" s="1082" t="s">
        <v>300</v>
      </c>
      <c r="B15" s="1083"/>
      <c r="C15" s="1083"/>
      <c r="D15" s="743" t="s">
        <v>1121</v>
      </c>
      <c r="E15" s="1084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F15" s="1085"/>
      <c r="G15" s="1084" t="str">
        <f>"на 31 декабря " &amp; YEAR('Общие сведения'!$D$2)-1 &amp; " г."</f>
        <v>на 31 декабря 2025 г.</v>
      </c>
      <c r="H15" s="1085"/>
      <c r="I15" s="990" t="str">
        <f>"на 31 декабря " &amp; YEAR('Общие сведения'!$D$2)-2 &amp; " г."</f>
        <v>на 31 декабря 2024 г.</v>
      </c>
      <c r="J15" s="990"/>
      <c r="K15" s="183"/>
    </row>
    <row r="16" spans="1:11" s="146" customFormat="1" ht="20.25" hidden="1" customHeight="1">
      <c r="A16" s="752" t="s">
        <v>1121</v>
      </c>
      <c r="B16" s="757"/>
      <c r="C16" s="757"/>
      <c r="D16" s="757"/>
      <c r="E16" s="740" t="s">
        <v>1123</v>
      </c>
      <c r="F16" s="740" t="s">
        <v>1124</v>
      </c>
      <c r="G16" s="740" t="s">
        <v>1125</v>
      </c>
      <c r="H16" s="778" t="s">
        <v>1126</v>
      </c>
      <c r="K16" s="838"/>
    </row>
    <row r="17" spans="1:11" ht="45" customHeight="1">
      <c r="A17" s="1077" t="s">
        <v>330</v>
      </c>
      <c r="B17" s="1078"/>
      <c r="C17" s="1078"/>
      <c r="D17" s="723">
        <v>10</v>
      </c>
      <c r="E17" s="1079">
        <f>SUM(E19:F22)</f>
        <v>0</v>
      </c>
      <c r="F17" s="1080"/>
      <c r="G17" s="1079">
        <f>SUM(G19:H22)</f>
        <v>0</v>
      </c>
      <c r="H17" s="1080"/>
      <c r="I17" s="1081">
        <f>SUM(I19:J22)</f>
        <v>0</v>
      </c>
      <c r="J17" s="1081"/>
      <c r="K17" s="183"/>
    </row>
    <row r="18" spans="1:11" ht="14.1" customHeight="1">
      <c r="A18" s="1075" t="s">
        <v>331</v>
      </c>
      <c r="B18" s="1076"/>
      <c r="C18" s="1076"/>
      <c r="D18" s="1076"/>
      <c r="E18" s="1076"/>
      <c r="F18" s="1076"/>
      <c r="G18" s="1076"/>
      <c r="H18" s="1076"/>
      <c r="I18" s="1076"/>
      <c r="J18" s="1076"/>
      <c r="K18" s="183"/>
    </row>
    <row r="19" spans="1:11" ht="18" customHeight="1">
      <c r="A19" s="1073" t="s">
        <v>2</v>
      </c>
      <c r="B19" s="1074"/>
      <c r="C19" s="1074"/>
      <c r="D19" s="725">
        <v>20</v>
      </c>
      <c r="E19" s="1036"/>
      <c r="F19" s="1037"/>
      <c r="G19" s="1036"/>
      <c r="H19" s="1037"/>
      <c r="I19" s="1070"/>
      <c r="J19" s="1039"/>
      <c r="K19" s="183"/>
    </row>
    <row r="20" spans="1:11" ht="18" customHeight="1">
      <c r="A20" s="1073" t="s">
        <v>3</v>
      </c>
      <c r="B20" s="1074"/>
      <c r="C20" s="1074"/>
      <c r="D20" s="725">
        <v>30</v>
      </c>
      <c r="E20" s="1036"/>
      <c r="F20" s="1037"/>
      <c r="G20" s="1036"/>
      <c r="H20" s="1037"/>
      <c r="I20" s="1070"/>
      <c r="J20" s="1039"/>
      <c r="K20" s="183"/>
    </row>
    <row r="21" spans="1:11" ht="18" customHeight="1">
      <c r="A21" s="1073" t="s">
        <v>4</v>
      </c>
      <c r="B21" s="1074"/>
      <c r="C21" s="1074"/>
      <c r="D21" s="725">
        <v>40</v>
      </c>
      <c r="E21" s="1036"/>
      <c r="F21" s="1037"/>
      <c r="G21" s="1036"/>
      <c r="H21" s="1037"/>
      <c r="I21" s="1070"/>
      <c r="J21" s="1039"/>
      <c r="K21" s="183"/>
    </row>
    <row r="22" spans="1:11" ht="16.149999999999999" customHeight="1">
      <c r="A22" s="1073" t="s">
        <v>332</v>
      </c>
      <c r="B22" s="1074"/>
      <c r="C22" s="1074"/>
      <c r="D22" s="725">
        <v>50</v>
      </c>
      <c r="E22" s="1036"/>
      <c r="F22" s="1037"/>
      <c r="G22" s="1036"/>
      <c r="H22" s="1037"/>
      <c r="I22" s="1070"/>
      <c r="J22" s="1039"/>
      <c r="K22" s="183"/>
    </row>
    <row r="23" spans="1:11" ht="45" customHeight="1">
      <c r="A23" s="1068" t="s">
        <v>333</v>
      </c>
      <c r="B23" s="1069"/>
      <c r="C23" s="1069"/>
      <c r="D23" s="726">
        <v>60</v>
      </c>
      <c r="E23" s="1036">
        <f>SUM(E25:F28)</f>
        <v>0</v>
      </c>
      <c r="F23" s="1037"/>
      <c r="G23" s="1036">
        <f>SUM(G25:H28)</f>
        <v>0</v>
      </c>
      <c r="H23" s="1037"/>
      <c r="I23" s="1039">
        <f>SUM(I25:J28)</f>
        <v>0</v>
      </c>
      <c r="J23" s="1039"/>
      <c r="K23" s="183"/>
    </row>
    <row r="24" spans="1:11" ht="14.1" customHeight="1">
      <c r="A24" s="1075" t="s">
        <v>331</v>
      </c>
      <c r="B24" s="1076"/>
      <c r="C24" s="1076"/>
      <c r="D24" s="1076"/>
      <c r="E24" s="1076"/>
      <c r="F24" s="1076"/>
      <c r="G24" s="1076"/>
      <c r="H24" s="1076"/>
      <c r="I24" s="1076"/>
      <c r="J24" s="1076"/>
      <c r="K24" s="183"/>
    </row>
    <row r="25" spans="1:11" ht="18" customHeight="1">
      <c r="A25" s="1073" t="s">
        <v>2</v>
      </c>
      <c r="B25" s="1074"/>
      <c r="C25" s="1074"/>
      <c r="D25" s="725">
        <v>70</v>
      </c>
      <c r="E25" s="1036"/>
      <c r="F25" s="1037"/>
      <c r="G25" s="1036"/>
      <c r="H25" s="1037"/>
      <c r="I25" s="1070"/>
      <c r="J25" s="1039"/>
      <c r="K25" s="183"/>
    </row>
    <row r="26" spans="1:11" ht="18" customHeight="1">
      <c r="A26" s="1073" t="s">
        <v>3</v>
      </c>
      <c r="B26" s="1074"/>
      <c r="C26" s="1074"/>
      <c r="D26" s="725">
        <v>80</v>
      </c>
      <c r="E26" s="1036"/>
      <c r="F26" s="1037"/>
      <c r="G26" s="1036"/>
      <c r="H26" s="1037"/>
      <c r="I26" s="1070"/>
      <c r="J26" s="1039"/>
      <c r="K26" s="183"/>
    </row>
    <row r="27" spans="1:11" ht="18" customHeight="1">
      <c r="A27" s="1073" t="s">
        <v>4</v>
      </c>
      <c r="B27" s="1074"/>
      <c r="C27" s="1074"/>
      <c r="D27" s="725">
        <v>90</v>
      </c>
      <c r="E27" s="1036"/>
      <c r="F27" s="1037"/>
      <c r="G27" s="1036"/>
      <c r="H27" s="1037"/>
      <c r="I27" s="1070"/>
      <c r="J27" s="1039"/>
      <c r="K27" s="183"/>
    </row>
    <row r="28" spans="1:11" ht="16.899999999999999" customHeight="1">
      <c r="A28" s="1073" t="s">
        <v>332</v>
      </c>
      <c r="B28" s="1074"/>
      <c r="C28" s="1074"/>
      <c r="D28" s="725">
        <v>100</v>
      </c>
      <c r="E28" s="1036"/>
      <c r="F28" s="1037"/>
      <c r="G28" s="1036"/>
      <c r="H28" s="1037"/>
      <c r="I28" s="1070"/>
      <c r="J28" s="1039"/>
      <c r="K28" s="183"/>
    </row>
    <row r="29" spans="1:11" ht="45" customHeight="1">
      <c r="A29" s="1068" t="s">
        <v>858</v>
      </c>
      <c r="B29" s="1069"/>
      <c r="C29" s="1069"/>
      <c r="D29" s="726">
        <v>110</v>
      </c>
      <c r="E29" s="1036"/>
      <c r="F29" s="1037"/>
      <c r="G29" s="1036"/>
      <c r="H29" s="1037"/>
      <c r="I29" s="1070"/>
      <c r="J29" s="1039"/>
      <c r="K29" s="183"/>
    </row>
    <row r="30" spans="1:11" ht="45" customHeight="1">
      <c r="A30" s="1071" t="s">
        <v>859</v>
      </c>
      <c r="B30" s="1072"/>
      <c r="C30" s="1072"/>
      <c r="D30" s="727">
        <v>120</v>
      </c>
      <c r="E30" s="1032"/>
      <c r="F30" s="1033"/>
      <c r="G30" s="1032"/>
      <c r="H30" s="1033"/>
      <c r="I30" s="1067"/>
      <c r="J30" s="1034"/>
      <c r="K30" s="183"/>
    </row>
    <row r="31" spans="1:11" ht="12" customHeight="1">
      <c r="A31" s="180"/>
      <c r="B31" s="180"/>
      <c r="C31" s="180"/>
      <c r="D31" s="291"/>
      <c r="E31" s="282"/>
      <c r="F31" s="282"/>
      <c r="G31" s="282"/>
      <c r="H31" s="282"/>
      <c r="I31" s="282"/>
      <c r="J31" s="282"/>
    </row>
    <row r="32" spans="1:11" ht="18" hidden="1" customHeight="1">
      <c r="A32" s="180"/>
      <c r="B32" s="180"/>
      <c r="C32" s="180"/>
      <c r="D32" s="291"/>
      <c r="E32" s="282"/>
      <c r="F32" s="282"/>
      <c r="G32" s="282"/>
      <c r="H32" s="282"/>
      <c r="I32" s="282"/>
      <c r="J32" s="282"/>
    </row>
    <row r="33" spans="1:10" ht="18" hidden="1" customHeight="1">
      <c r="A33" s="180"/>
      <c r="B33" s="180"/>
      <c r="C33" s="180"/>
      <c r="D33" s="291"/>
      <c r="E33" s="282"/>
      <c r="F33" s="282"/>
      <c r="G33" s="282"/>
      <c r="H33" s="282"/>
      <c r="I33" s="282"/>
      <c r="J33" s="282"/>
    </row>
    <row r="34" spans="1:10" ht="18" hidden="1" customHeight="1">
      <c r="A34" s="180"/>
      <c r="B34" s="180"/>
      <c r="C34" s="180"/>
      <c r="D34" s="291"/>
      <c r="E34" s="282"/>
      <c r="F34" s="282"/>
      <c r="G34" s="282"/>
      <c r="H34" s="282"/>
      <c r="I34" s="282"/>
      <c r="J34" s="282"/>
    </row>
    <row r="35" spans="1:10" ht="18" hidden="1" customHeight="1">
      <c r="A35" s="180"/>
      <c r="B35" s="180"/>
      <c r="C35" s="180"/>
      <c r="D35" s="291"/>
      <c r="E35" s="282"/>
      <c r="F35" s="282"/>
      <c r="G35" s="282"/>
      <c r="H35" s="282"/>
      <c r="I35" s="282"/>
      <c r="J35" s="282"/>
    </row>
    <row r="36" spans="1:10" ht="18" hidden="1" customHeight="1">
      <c r="A36" s="180"/>
      <c r="B36" s="180"/>
      <c r="C36" s="180"/>
      <c r="D36" s="291"/>
      <c r="E36" s="282"/>
      <c r="F36" s="282"/>
      <c r="G36" s="282"/>
      <c r="H36" s="282"/>
      <c r="I36" s="282"/>
      <c r="J36" s="282"/>
    </row>
  </sheetData>
  <mergeCells count="55">
    <mergeCell ref="A17:C17"/>
    <mergeCell ref="E17:F17"/>
    <mergeCell ref="G17:H17"/>
    <mergeCell ref="I17:J17"/>
    <mergeCell ref="A13:I13"/>
    <mergeCell ref="A15:C15"/>
    <mergeCell ref="E15:F15"/>
    <mergeCell ref="G15:H15"/>
    <mergeCell ref="I15:J15"/>
    <mergeCell ref="I19:J19"/>
    <mergeCell ref="A20:C20"/>
    <mergeCell ref="E20:F20"/>
    <mergeCell ref="G20:H20"/>
    <mergeCell ref="I20:J20"/>
    <mergeCell ref="A18:J18"/>
    <mergeCell ref="A23:C23"/>
    <mergeCell ref="E23:F23"/>
    <mergeCell ref="G23:H23"/>
    <mergeCell ref="I23:J23"/>
    <mergeCell ref="A22:C22"/>
    <mergeCell ref="E22:F22"/>
    <mergeCell ref="G22:H22"/>
    <mergeCell ref="I22:J22"/>
    <mergeCell ref="A21:C21"/>
    <mergeCell ref="E21:F21"/>
    <mergeCell ref="G21:H21"/>
    <mergeCell ref="I21:J21"/>
    <mergeCell ref="A19:C19"/>
    <mergeCell ref="E19:F19"/>
    <mergeCell ref="G19:H19"/>
    <mergeCell ref="A25:C25"/>
    <mergeCell ref="E25:F25"/>
    <mergeCell ref="G25:H25"/>
    <mergeCell ref="I25:J25"/>
    <mergeCell ref="A24:J24"/>
    <mergeCell ref="A28:C28"/>
    <mergeCell ref="E28:F28"/>
    <mergeCell ref="G28:H28"/>
    <mergeCell ref="I28:J28"/>
    <mergeCell ref="A26:C26"/>
    <mergeCell ref="E26:F26"/>
    <mergeCell ref="G26:H26"/>
    <mergeCell ref="I26:J26"/>
    <mergeCell ref="A27:C27"/>
    <mergeCell ref="E27:F27"/>
    <mergeCell ref="G27:H27"/>
    <mergeCell ref="I27:J27"/>
    <mergeCell ref="I30:J30"/>
    <mergeCell ref="A29:C29"/>
    <mergeCell ref="E29:F29"/>
    <mergeCell ref="G29:H29"/>
    <mergeCell ref="I29:J29"/>
    <mergeCell ref="A30:C30"/>
    <mergeCell ref="E30:F30"/>
    <mergeCell ref="G30:H30"/>
  </mergeCells>
  <pageMargins left="0.62992125984251968" right="0.23622047244094491" top="0.35433070866141736" bottom="0.15748031496062992" header="0.23622047244094491" footer="0.15748031496062992"/>
  <pageSetup paperSize="9" scale="98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7" filterMode="1">
    <tabColor theme="8" tint="0.79998168889431442"/>
    <pageSetUpPr fitToPage="1"/>
  </sheetPr>
  <dimension ref="A1:O47"/>
  <sheetViews>
    <sheetView topLeftCell="B13" zoomScale="70" zoomScaleNormal="70" workbookViewId="0">
      <selection activeCell="I53" sqref="I53"/>
    </sheetView>
  </sheetViews>
  <sheetFormatPr defaultColWidth="9.140625" defaultRowHeight="15.75"/>
  <cols>
    <col min="1" max="1" width="8.140625" style="728" hidden="1" customWidth="1"/>
    <col min="2" max="2" width="27" style="145" customWidth="1"/>
    <col min="3" max="3" width="18.28515625" style="145" customWidth="1"/>
    <col min="4" max="4" width="17.28515625" style="145" customWidth="1"/>
    <col min="5" max="5" width="17.140625" style="145" customWidth="1"/>
    <col min="6" max="6" width="15" style="145" customWidth="1"/>
    <col min="7" max="7" width="18.5703125" style="145" customWidth="1"/>
    <col min="8" max="8" width="17.7109375" style="145" customWidth="1"/>
    <col min="9" max="9" width="14.5703125" style="145" customWidth="1"/>
    <col min="10" max="10" width="18.28515625" style="145" customWidth="1"/>
    <col min="11" max="11" width="14.7109375" style="309" customWidth="1"/>
    <col min="12" max="12" width="19.5703125" style="145" customWidth="1"/>
    <col min="13" max="13" width="15.5703125" style="145" customWidth="1"/>
    <col min="14" max="14" width="6.7109375" style="145" customWidth="1"/>
    <col min="15" max="15" width="23.5703125" style="788" customWidth="1"/>
    <col min="16" max="16384" width="9.140625" style="145"/>
  </cols>
  <sheetData>
    <row r="1" spans="2:15" hidden="1">
      <c r="O1" s="145"/>
    </row>
    <row r="2" spans="2:15" hidden="1">
      <c r="O2" s="145"/>
    </row>
    <row r="3" spans="2:15" hidden="1">
      <c r="O3" s="145"/>
    </row>
    <row r="4" spans="2:15" hidden="1">
      <c r="O4" s="145"/>
    </row>
    <row r="5" spans="2:15" hidden="1">
      <c r="O5" s="145"/>
    </row>
    <row r="6" spans="2:15" hidden="1">
      <c r="O6" s="145"/>
    </row>
    <row r="7" spans="2:15" hidden="1">
      <c r="O7" s="145"/>
    </row>
    <row r="8" spans="2:15" hidden="1">
      <c r="O8" s="145"/>
    </row>
    <row r="9" spans="2:15" hidden="1">
      <c r="O9" s="145"/>
    </row>
    <row r="10" spans="2:15" hidden="1">
      <c r="O10" s="145"/>
    </row>
    <row r="11" spans="2:15" hidden="1">
      <c r="O11" s="145"/>
    </row>
    <row r="12" spans="2:15" ht="15" hidden="1" customHeight="1">
      <c r="O12" s="145"/>
    </row>
    <row r="13" spans="2:15">
      <c r="M13" s="163" t="s">
        <v>340</v>
      </c>
    </row>
    <row r="14" spans="2:15" ht="19.5">
      <c r="B14" s="1092" t="s">
        <v>334</v>
      </c>
      <c r="C14" s="1092"/>
      <c r="D14" s="1092"/>
      <c r="E14" s="1092"/>
      <c r="F14" s="1092"/>
      <c r="G14" s="1092"/>
      <c r="H14" s="1092"/>
      <c r="I14" s="1092"/>
      <c r="J14" s="1092"/>
      <c r="K14" s="1092"/>
      <c r="L14" s="1092"/>
      <c r="M14" s="1092"/>
    </row>
    <row r="15" spans="2:15" ht="19.5">
      <c r="B15" s="1092" t="s">
        <v>335</v>
      </c>
      <c r="C15" s="1092"/>
      <c r="D15" s="1092"/>
      <c r="E15" s="1092"/>
      <c r="F15" s="1092"/>
      <c r="G15" s="1092"/>
      <c r="H15" s="1092"/>
      <c r="I15" s="1092"/>
      <c r="J15" s="1092"/>
      <c r="K15" s="1092"/>
      <c r="L15" s="1092"/>
      <c r="M15" s="1092"/>
    </row>
    <row r="16" spans="2:15" ht="20.100000000000001" customHeight="1">
      <c r="B16" s="810" t="s">
        <v>14</v>
      </c>
      <c r="C16" s="292"/>
      <c r="D16" s="292"/>
      <c r="E16" s="292"/>
      <c r="F16" s="292"/>
      <c r="G16" s="292"/>
      <c r="H16" s="292"/>
      <c r="I16" s="292"/>
      <c r="J16" s="292"/>
      <c r="K16" s="313"/>
      <c r="L16" s="292"/>
      <c r="M16" s="292"/>
    </row>
    <row r="17" spans="1:15" hidden="1">
      <c r="M17" s="282"/>
      <c r="O17" s="145"/>
    </row>
    <row r="18" spans="1:15" ht="15.6" customHeight="1">
      <c r="A18" s="1086" t="s">
        <v>1121</v>
      </c>
      <c r="B18" s="1093" t="s">
        <v>0</v>
      </c>
      <c r="C18" s="1096" t="s">
        <v>293</v>
      </c>
      <c r="D18" s="1089" t="s">
        <v>294</v>
      </c>
      <c r="E18" s="1091"/>
      <c r="F18" s="1089" t="s">
        <v>295</v>
      </c>
      <c r="G18" s="1090"/>
      <c r="H18" s="1090"/>
      <c r="I18" s="1090"/>
      <c r="J18" s="1090"/>
      <c r="K18" s="1091"/>
      <c r="L18" s="1089" t="s">
        <v>296</v>
      </c>
      <c r="M18" s="1099"/>
    </row>
    <row r="19" spans="1:15" ht="32.450000000000003" customHeight="1">
      <c r="A19" s="1086"/>
      <c r="B19" s="1094"/>
      <c r="C19" s="1097"/>
      <c r="D19" s="1097" t="s">
        <v>829</v>
      </c>
      <c r="E19" s="1097" t="s">
        <v>830</v>
      </c>
      <c r="F19" s="1097" t="s">
        <v>842</v>
      </c>
      <c r="G19" s="1097" t="s">
        <v>843</v>
      </c>
      <c r="H19" s="1097"/>
      <c r="I19" s="1097" t="s">
        <v>837</v>
      </c>
      <c r="J19" s="1122" t="s">
        <v>844</v>
      </c>
      <c r="K19" s="1123"/>
      <c r="L19" s="1097" t="s">
        <v>829</v>
      </c>
      <c r="M19" s="1100" t="s">
        <v>830</v>
      </c>
    </row>
    <row r="20" spans="1:15" ht="47.25">
      <c r="A20" s="1086"/>
      <c r="B20" s="1095"/>
      <c r="C20" s="1098"/>
      <c r="D20" s="1098"/>
      <c r="E20" s="1098"/>
      <c r="F20" s="1098"/>
      <c r="G20" s="176" t="s">
        <v>829</v>
      </c>
      <c r="H20" s="176" t="s">
        <v>831</v>
      </c>
      <c r="I20" s="1098"/>
      <c r="J20" s="315" t="s">
        <v>829</v>
      </c>
      <c r="K20" s="315" t="s">
        <v>831</v>
      </c>
      <c r="L20" s="1098"/>
      <c r="M20" s="1101"/>
    </row>
    <row r="21" spans="1:15" ht="22.5" hidden="1" customHeight="1">
      <c r="B21" s="760" t="s">
        <v>1121</v>
      </c>
      <c r="C21" s="761"/>
      <c r="D21" s="762" t="s">
        <v>1122</v>
      </c>
      <c r="E21" s="762" t="s">
        <v>1123</v>
      </c>
      <c r="F21" s="762" t="s">
        <v>1124</v>
      </c>
      <c r="G21" s="762" t="s">
        <v>1125</v>
      </c>
      <c r="H21" s="762" t="s">
        <v>1126</v>
      </c>
      <c r="I21" s="762" t="s">
        <v>1127</v>
      </c>
      <c r="J21" s="762" t="s">
        <v>1128</v>
      </c>
      <c r="K21" s="762" t="s">
        <v>1129</v>
      </c>
      <c r="L21" s="762" t="s">
        <v>1130</v>
      </c>
      <c r="M21" s="763" t="s">
        <v>1131</v>
      </c>
      <c r="O21" s="749" t="s">
        <v>1137</v>
      </c>
    </row>
    <row r="22" spans="1:15" ht="32.1" customHeight="1">
      <c r="A22" s="729">
        <v>10</v>
      </c>
      <c r="B22" s="1124" t="s">
        <v>336</v>
      </c>
      <c r="C22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2" s="293">
        <f t="shared" ref="D22:M23" si="0">D25+D27+D29+D31+D33</f>
        <v>0</v>
      </c>
      <c r="E22" s="293">
        <f t="shared" si="0"/>
        <v>0</v>
      </c>
      <c r="F22" s="293">
        <f t="shared" si="0"/>
        <v>0</v>
      </c>
      <c r="G22" s="293">
        <f t="shared" si="0"/>
        <v>0</v>
      </c>
      <c r="H22" s="293">
        <f t="shared" si="0"/>
        <v>0</v>
      </c>
      <c r="I22" s="293">
        <f t="shared" si="0"/>
        <v>0</v>
      </c>
      <c r="J22" s="293">
        <f t="shared" si="0"/>
        <v>0</v>
      </c>
      <c r="K22" s="314">
        <f t="shared" ref="K22" si="1">K25+K27+K29+K31+K33</f>
        <v>0</v>
      </c>
      <c r="L22" s="293">
        <f t="shared" si="0"/>
        <v>0</v>
      </c>
      <c r="M22" s="294">
        <f t="shared" si="0"/>
        <v>0</v>
      </c>
      <c r="O22" s="792"/>
    </row>
    <row r="23" spans="1:15" ht="32.1" hidden="1" customHeight="1">
      <c r="A23" s="729">
        <v>20</v>
      </c>
      <c r="B23" s="1125"/>
      <c r="C23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3" s="573">
        <f t="shared" si="0"/>
        <v>0</v>
      </c>
      <c r="E23" s="573">
        <f t="shared" si="0"/>
        <v>0</v>
      </c>
      <c r="F23" s="573">
        <f t="shared" si="0"/>
        <v>0</v>
      </c>
      <c r="G23" s="573">
        <f t="shared" si="0"/>
        <v>0</v>
      </c>
      <c r="H23" s="573">
        <f t="shared" si="0"/>
        <v>0</v>
      </c>
      <c r="I23" s="573">
        <f t="shared" si="0"/>
        <v>0</v>
      </c>
      <c r="J23" s="573">
        <f t="shared" si="0"/>
        <v>0</v>
      </c>
      <c r="K23" s="573">
        <f t="shared" ref="K23" si="2">K26+K28+K30+K32+K34</f>
        <v>0</v>
      </c>
      <c r="L23" s="573">
        <f t="shared" si="0"/>
        <v>0</v>
      </c>
      <c r="M23" s="574">
        <f t="shared" si="0"/>
        <v>0</v>
      </c>
      <c r="O23" s="788" t="s">
        <v>1136</v>
      </c>
    </row>
    <row r="24" spans="1:15" ht="18.75" customHeight="1">
      <c r="A24" s="729"/>
      <c r="B24" s="295" t="s">
        <v>207</v>
      </c>
      <c r="C24" s="692"/>
      <c r="D24" s="228"/>
      <c r="E24" s="228"/>
      <c r="F24" s="228"/>
      <c r="G24" s="228"/>
      <c r="H24" s="228"/>
      <c r="I24" s="228"/>
      <c r="J24" s="228"/>
      <c r="K24" s="311"/>
      <c r="L24" s="228"/>
      <c r="M24" s="229"/>
    </row>
    <row r="25" spans="1:15" ht="32.1" customHeight="1">
      <c r="A25" s="729">
        <v>30</v>
      </c>
      <c r="B25" s="1087" t="s">
        <v>5</v>
      </c>
      <c r="C25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5" s="280"/>
      <c r="E25" s="280"/>
      <c r="F25" s="280"/>
      <c r="G25" s="280"/>
      <c r="H25" s="280"/>
      <c r="I25" s="280"/>
      <c r="J25" s="280"/>
      <c r="K25" s="312"/>
      <c r="L25" s="293">
        <f t="shared" ref="L25:L34" si="3">D25+F25+G25+J25</f>
        <v>0</v>
      </c>
      <c r="M25" s="294">
        <f>E25+H25+I25+K25</f>
        <v>0</v>
      </c>
    </row>
    <row r="26" spans="1:15" ht="32.1" hidden="1" customHeight="1">
      <c r="A26" s="729">
        <v>40</v>
      </c>
      <c r="B26" s="1088"/>
      <c r="C26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26" s="230"/>
      <c r="E26" s="230"/>
      <c r="F26" s="230"/>
      <c r="G26" s="230"/>
      <c r="H26" s="230"/>
      <c r="I26" s="230"/>
      <c r="J26" s="230"/>
      <c r="K26" s="312"/>
      <c r="L26" s="293">
        <f t="shared" si="3"/>
        <v>0</v>
      </c>
      <c r="M26" s="294">
        <f t="shared" ref="M26:M34" si="4">E26+H26+I26+K26</f>
        <v>0</v>
      </c>
      <c r="O26" s="788" t="s">
        <v>1136</v>
      </c>
    </row>
    <row r="27" spans="1:15" ht="32.1" hidden="1" customHeight="1">
      <c r="A27" s="729"/>
      <c r="B27" s="1087"/>
      <c r="C27" s="673"/>
      <c r="D27" s="230"/>
      <c r="E27" s="230"/>
      <c r="F27" s="230"/>
      <c r="G27" s="230"/>
      <c r="H27" s="230"/>
      <c r="I27" s="230"/>
      <c r="J27" s="230"/>
      <c r="K27" s="312"/>
      <c r="L27" s="293"/>
      <c r="M27" s="294"/>
      <c r="O27" s="316" t="s">
        <v>1138</v>
      </c>
    </row>
    <row r="28" spans="1:15" ht="32.1" hidden="1" customHeight="1">
      <c r="A28" s="729"/>
      <c r="B28" s="1088"/>
      <c r="C28" s="678"/>
      <c r="D28" s="230"/>
      <c r="E28" s="230"/>
      <c r="F28" s="230"/>
      <c r="G28" s="230"/>
      <c r="H28" s="230"/>
      <c r="I28" s="230"/>
      <c r="J28" s="230"/>
      <c r="K28" s="312"/>
      <c r="L28" s="293"/>
      <c r="M28" s="294"/>
      <c r="O28" s="316" t="s">
        <v>1138</v>
      </c>
    </row>
    <row r="29" spans="1:15" ht="32.1" customHeight="1">
      <c r="A29" s="729">
        <v>50</v>
      </c>
      <c r="B29" s="1087" t="s">
        <v>6</v>
      </c>
      <c r="C29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9" s="230"/>
      <c r="E29" s="230"/>
      <c r="F29" s="230"/>
      <c r="G29" s="230"/>
      <c r="H29" s="230"/>
      <c r="I29" s="230"/>
      <c r="J29" s="230"/>
      <c r="K29" s="312"/>
      <c r="L29" s="293">
        <f t="shared" si="3"/>
        <v>0</v>
      </c>
      <c r="M29" s="294">
        <f t="shared" si="4"/>
        <v>0</v>
      </c>
    </row>
    <row r="30" spans="1:15" ht="32.1" hidden="1" customHeight="1">
      <c r="A30" s="729">
        <v>60</v>
      </c>
      <c r="B30" s="1088"/>
      <c r="C30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0" s="230"/>
      <c r="E30" s="230"/>
      <c r="F30" s="230"/>
      <c r="G30" s="230"/>
      <c r="H30" s="230"/>
      <c r="I30" s="230"/>
      <c r="J30" s="230"/>
      <c r="K30" s="312"/>
      <c r="L30" s="293">
        <f t="shared" si="3"/>
        <v>0</v>
      </c>
      <c r="M30" s="294">
        <f t="shared" si="4"/>
        <v>0</v>
      </c>
      <c r="O30" s="788" t="s">
        <v>1136</v>
      </c>
    </row>
    <row r="31" spans="1:15" ht="32.1" customHeight="1">
      <c r="A31" s="729">
        <v>70</v>
      </c>
      <c r="B31" s="1087" t="s">
        <v>338</v>
      </c>
      <c r="C31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1" s="230"/>
      <c r="E31" s="230"/>
      <c r="F31" s="230"/>
      <c r="G31" s="230"/>
      <c r="H31" s="230"/>
      <c r="I31" s="230"/>
      <c r="J31" s="230"/>
      <c r="K31" s="312"/>
      <c r="L31" s="293">
        <f t="shared" si="3"/>
        <v>0</v>
      </c>
      <c r="M31" s="294">
        <f t="shared" si="4"/>
        <v>0</v>
      </c>
    </row>
    <row r="32" spans="1:15" ht="32.1" hidden="1" customHeight="1">
      <c r="A32" s="729">
        <v>80</v>
      </c>
      <c r="B32" s="1088"/>
      <c r="C32" s="691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2" s="230"/>
      <c r="E32" s="230"/>
      <c r="F32" s="230"/>
      <c r="G32" s="230"/>
      <c r="H32" s="230"/>
      <c r="I32" s="230"/>
      <c r="J32" s="230"/>
      <c r="K32" s="312"/>
      <c r="L32" s="293">
        <f t="shared" si="3"/>
        <v>0</v>
      </c>
      <c r="M32" s="294">
        <f t="shared" si="4"/>
        <v>0</v>
      </c>
      <c r="O32" s="788" t="s">
        <v>1136</v>
      </c>
    </row>
    <row r="33" spans="1:15" ht="32.1" customHeight="1">
      <c r="A33" s="729">
        <v>90</v>
      </c>
      <c r="B33" s="1058" t="s">
        <v>339</v>
      </c>
      <c r="C33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3" s="785"/>
      <c r="E33" s="785"/>
      <c r="F33" s="785"/>
      <c r="G33" s="785"/>
      <c r="H33" s="785"/>
      <c r="I33" s="785"/>
      <c r="J33" s="785"/>
      <c r="K33" s="785"/>
      <c r="L33" s="323">
        <f t="shared" si="3"/>
        <v>0</v>
      </c>
      <c r="M33" s="290">
        <f t="shared" si="4"/>
        <v>0</v>
      </c>
    </row>
    <row r="34" spans="1:15" ht="32.1" hidden="1" customHeight="1">
      <c r="A34" s="729">
        <v>100</v>
      </c>
      <c r="B34" s="971"/>
      <c r="C34" s="783" t="str">
        <f>"за " &amp; IF(MONTH('Общие сведения'!$D$2)=3, "январь-март " &amp; YEAR('Общие сведения'!$D$2)-1 &amp; " г.", IF(MONTH('Общие сведения'!$D$2)=6, "январь-июнь " &amp; YEAR('Общие сведения'!$D$2)-1 &amp; " г.", IF(MONTH('Общие сведения'!$D$2)=9, "январь-сентябрь " &amp; YEAR('Общие сведения'!$D$2)-1 &amp; " г.", YEAR('Общие сведения'!$D$2)-1 &amp; " г.")))</f>
        <v>за январь-март 2025 г.</v>
      </c>
      <c r="D34" s="546"/>
      <c r="E34" s="546"/>
      <c r="F34" s="546"/>
      <c r="G34" s="546"/>
      <c r="H34" s="546"/>
      <c r="I34" s="546"/>
      <c r="J34" s="546"/>
      <c r="K34" s="546"/>
      <c r="L34" s="563">
        <f t="shared" si="3"/>
        <v>0</v>
      </c>
      <c r="M34" s="564">
        <f t="shared" si="4"/>
        <v>0</v>
      </c>
      <c r="O34" s="788" t="s">
        <v>1136</v>
      </c>
    </row>
    <row r="35" spans="1:15">
      <c r="A35" s="729"/>
      <c r="B35" s="827"/>
      <c r="C35" s="827"/>
      <c r="D35" s="827"/>
      <c r="E35" s="827"/>
      <c r="F35" s="827"/>
      <c r="G35" s="827"/>
      <c r="H35" s="827"/>
      <c r="I35" s="827"/>
      <c r="J35" s="827"/>
      <c r="K35" s="827"/>
      <c r="L35" s="827"/>
      <c r="M35" s="827"/>
    </row>
    <row r="36" spans="1:15">
      <c r="A36" s="729"/>
    </row>
    <row r="37" spans="1:15">
      <c r="A37" s="729"/>
    </row>
    <row r="38" spans="1:15" s="165" customFormat="1" ht="19.5">
      <c r="A38" s="730"/>
      <c r="B38" s="989" t="s">
        <v>809</v>
      </c>
      <c r="C38" s="989"/>
      <c r="D38" s="989"/>
      <c r="E38" s="989"/>
      <c r="F38" s="989"/>
      <c r="G38" s="989"/>
      <c r="H38" s="989"/>
      <c r="I38" s="989"/>
      <c r="J38" s="181"/>
      <c r="K38" s="310"/>
      <c r="L38" s="181"/>
      <c r="O38" s="799"/>
    </row>
    <row r="39" spans="1:15" ht="27.75" customHeight="1">
      <c r="A39" s="729"/>
      <c r="B39" s="839" t="s">
        <v>14</v>
      </c>
      <c r="H39" s="575"/>
      <c r="I39" s="575"/>
      <c r="J39" s="575"/>
      <c r="K39" s="575"/>
    </row>
    <row r="40" spans="1:15" ht="19.5" customHeight="1">
      <c r="A40" s="729"/>
      <c r="B40" s="1120" t="s">
        <v>300</v>
      </c>
      <c r="C40" s="1121"/>
      <c r="D40" s="1046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40" s="1047"/>
      <c r="F40" s="1046" t="str">
        <f>"на 31 декабря " &amp; YEAR('Общие сведения'!$D$2)-1 &amp; " г."</f>
        <v>на 31 декабря 2025 г.</v>
      </c>
      <c r="G40" s="1117"/>
      <c r="H40" s="1118" t="str">
        <f>"на 31 декабря " &amp; YEAR('Общие сведения'!$D$2)-2 &amp; " г."</f>
        <v>на 31 декабря 2024 г.</v>
      </c>
      <c r="I40" s="1119"/>
      <c r="J40" s="577"/>
      <c r="K40" s="576"/>
    </row>
    <row r="41" spans="1:15" ht="69.599999999999994" customHeight="1">
      <c r="A41" s="729">
        <v>110</v>
      </c>
      <c r="B41" s="1104" t="s">
        <v>810</v>
      </c>
      <c r="C41" s="1105"/>
      <c r="D41" s="1113">
        <f>D43+D46</f>
        <v>0</v>
      </c>
      <c r="E41" s="1114"/>
      <c r="F41" s="1115">
        <f>F43+F46</f>
        <v>0</v>
      </c>
      <c r="G41" s="1116"/>
      <c r="H41" s="1102">
        <f>H43+H46</f>
        <v>0</v>
      </c>
      <c r="I41" s="1103"/>
      <c r="J41" s="578"/>
      <c r="K41" s="575"/>
    </row>
    <row r="42" spans="1:15" ht="18" customHeight="1">
      <c r="A42" s="729"/>
      <c r="B42" s="1104" t="s">
        <v>207</v>
      </c>
      <c r="C42" s="1107"/>
      <c r="D42" s="1107"/>
      <c r="E42" s="1107"/>
      <c r="F42" s="1107"/>
      <c r="G42" s="1108"/>
      <c r="H42" s="826"/>
      <c r="I42" s="826"/>
      <c r="J42" s="578"/>
      <c r="K42" s="575"/>
    </row>
    <row r="43" spans="1:15" ht="39.75" customHeight="1">
      <c r="A43" s="729">
        <v>120</v>
      </c>
      <c r="B43" s="1109" t="s">
        <v>5</v>
      </c>
      <c r="C43" s="1110"/>
      <c r="D43" s="1041"/>
      <c r="E43" s="1042"/>
      <c r="F43" s="1041"/>
      <c r="G43" s="1043"/>
      <c r="H43" s="1102"/>
      <c r="I43" s="1103"/>
      <c r="J43" s="578"/>
      <c r="K43" s="575"/>
    </row>
    <row r="44" spans="1:15" ht="38.1" hidden="1" customHeight="1">
      <c r="A44" s="729">
        <v>130</v>
      </c>
      <c r="B44" s="764" t="s">
        <v>337</v>
      </c>
      <c r="C44" s="534"/>
      <c r="D44" s="535"/>
      <c r="E44" s="535"/>
      <c r="F44" s="535"/>
      <c r="G44" s="536"/>
      <c r="H44" s="579"/>
      <c r="I44" s="579"/>
      <c r="J44" s="578"/>
      <c r="K44" s="575"/>
      <c r="O44" s="316" t="s">
        <v>1138</v>
      </c>
    </row>
    <row r="45" spans="1:15" ht="38.1" hidden="1" customHeight="1">
      <c r="A45" s="729">
        <v>140</v>
      </c>
      <c r="B45" s="764" t="s">
        <v>6</v>
      </c>
      <c r="C45" s="534"/>
      <c r="D45" s="535"/>
      <c r="E45" s="535"/>
      <c r="F45" s="535"/>
      <c r="G45" s="536"/>
      <c r="H45" s="579"/>
      <c r="I45" s="579"/>
      <c r="J45" s="578"/>
      <c r="K45" s="575"/>
      <c r="O45" s="316" t="s">
        <v>1138</v>
      </c>
    </row>
    <row r="46" spans="1:15" ht="34.5" customHeight="1">
      <c r="A46" s="729">
        <v>150</v>
      </c>
      <c r="B46" s="1111" t="s">
        <v>338</v>
      </c>
      <c r="C46" s="1112"/>
      <c r="D46" s="1032"/>
      <c r="E46" s="1033"/>
      <c r="F46" s="1032"/>
      <c r="G46" s="1106"/>
      <c r="H46" s="1102"/>
      <c r="I46" s="1103"/>
      <c r="J46" s="578"/>
      <c r="K46" s="575"/>
    </row>
    <row r="47" spans="1:15">
      <c r="H47" s="580"/>
      <c r="I47" s="580"/>
      <c r="J47" s="580"/>
      <c r="K47" s="575"/>
    </row>
  </sheetData>
  <autoFilter ref="O21:O47">
    <filterColumn colId="0">
      <filters blank="1"/>
    </filterColumn>
  </autoFilter>
  <mergeCells count="40">
    <mergeCell ref="F40:G40"/>
    <mergeCell ref="H40:I40"/>
    <mergeCell ref="B40:C40"/>
    <mergeCell ref="J19:K19"/>
    <mergeCell ref="B38:I38"/>
    <mergeCell ref="D40:E40"/>
    <mergeCell ref="B33:B34"/>
    <mergeCell ref="B22:B23"/>
    <mergeCell ref="B25:B26"/>
    <mergeCell ref="B29:B30"/>
    <mergeCell ref="B31:B32"/>
    <mergeCell ref="H41:I41"/>
    <mergeCell ref="B41:C41"/>
    <mergeCell ref="H46:I46"/>
    <mergeCell ref="D43:E43"/>
    <mergeCell ref="F43:G43"/>
    <mergeCell ref="H43:I43"/>
    <mergeCell ref="D46:E46"/>
    <mergeCell ref="F46:G46"/>
    <mergeCell ref="B42:G42"/>
    <mergeCell ref="B43:C43"/>
    <mergeCell ref="B46:C46"/>
    <mergeCell ref="D41:E41"/>
    <mergeCell ref="F41:G41"/>
    <mergeCell ref="A18:A20"/>
    <mergeCell ref="B27:B28"/>
    <mergeCell ref="F18:K18"/>
    <mergeCell ref="B14:M14"/>
    <mergeCell ref="B15:M15"/>
    <mergeCell ref="B18:B20"/>
    <mergeCell ref="C18:C20"/>
    <mergeCell ref="D18:E18"/>
    <mergeCell ref="L18:M18"/>
    <mergeCell ref="D19:D20"/>
    <mergeCell ref="E19:E20"/>
    <mergeCell ref="F19:F20"/>
    <mergeCell ref="G19:H19"/>
    <mergeCell ref="I19:I20"/>
    <mergeCell ref="L19:L20"/>
    <mergeCell ref="M19:M20"/>
  </mergeCells>
  <pageMargins left="0.89" right="0.24" top="0.65" bottom="0.42" header="0.42" footer="0.5"/>
  <pageSetup paperSize="9" scale="64" orientation="landscape" r:id="rId1"/>
  <headerFooter alignWithMargins="0"/>
  <ignoredErrors>
    <ignoredError sqref="C30:C32 C33" formula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1">
    <tabColor theme="8" tint="0.79998168889431442"/>
    <pageSetUpPr fitToPage="1"/>
  </sheetPr>
  <dimension ref="A2:H24"/>
  <sheetViews>
    <sheetView zoomScale="75" zoomScaleNormal="100" workbookViewId="0">
      <selection activeCell="I53" sqref="I53"/>
    </sheetView>
  </sheetViews>
  <sheetFormatPr defaultColWidth="9.140625" defaultRowHeight="15.75"/>
  <cols>
    <col min="1" max="1" width="47.140625" style="145" customWidth="1"/>
    <col min="2" max="2" width="11.140625" style="145" customWidth="1"/>
    <col min="3" max="3" width="8.28515625" style="145" hidden="1" customWidth="1"/>
    <col min="4" max="4" width="13" style="145" customWidth="1"/>
    <col min="5" max="5" width="15.85546875" style="145" customWidth="1"/>
    <col min="6" max="6" width="13.85546875" style="145" customWidth="1"/>
    <col min="7" max="7" width="15.7109375" style="145" customWidth="1"/>
    <col min="8" max="8" width="10.5703125" style="145" customWidth="1"/>
    <col min="9" max="16384" width="9.140625" style="145"/>
  </cols>
  <sheetData>
    <row r="2" spans="1:8" s="146" customFormat="1" ht="24" hidden="1" customHeight="1">
      <c r="B2" s="147"/>
      <c r="D2" s="148"/>
      <c r="E2" s="149"/>
      <c r="F2" s="150" t="s">
        <v>12</v>
      </c>
    </row>
    <row r="3" spans="1:8" s="146" customFormat="1" ht="24" hidden="1" customHeight="1">
      <c r="B3" s="147"/>
      <c r="E3" s="151"/>
      <c r="F3" s="152" t="s">
        <v>13</v>
      </c>
    </row>
    <row r="4" spans="1:8" s="146" customFormat="1" ht="24" hidden="1" customHeight="1">
      <c r="B4" s="153"/>
      <c r="E4" s="151" t="s">
        <v>280</v>
      </c>
      <c r="F4" s="152"/>
    </row>
    <row r="5" spans="1:8" s="146" customFormat="1" ht="24" hidden="1" customHeight="1">
      <c r="A5" s="154" t="s">
        <v>281</v>
      </c>
      <c r="C5" s="154"/>
      <c r="D5" s="154"/>
      <c r="E5" s="151" t="s">
        <v>282</v>
      </c>
      <c r="F5" s="152"/>
    </row>
    <row r="6" spans="1:8" s="146" customFormat="1" ht="24" hidden="1" customHeight="1">
      <c r="A6" s="155" t="s">
        <v>283</v>
      </c>
      <c r="D6" s="156"/>
      <c r="E6" s="151" t="s">
        <v>284</v>
      </c>
      <c r="F6" s="152"/>
    </row>
    <row r="7" spans="1:8" s="146" customFormat="1" ht="24" hidden="1" customHeight="1">
      <c r="A7" s="154" t="s">
        <v>285</v>
      </c>
      <c r="C7" s="154"/>
      <c r="D7" s="154"/>
      <c r="E7" s="151" t="s">
        <v>286</v>
      </c>
      <c r="F7" s="152"/>
    </row>
    <row r="8" spans="1:8" s="146" customFormat="1" ht="24" hidden="1" customHeight="1">
      <c r="A8" s="154" t="s">
        <v>287</v>
      </c>
      <c r="D8" s="156"/>
      <c r="E8" s="151"/>
      <c r="F8" s="152"/>
    </row>
    <row r="9" spans="1:8" s="146" customFormat="1" ht="24" hidden="1" customHeight="1">
      <c r="A9" s="157"/>
      <c r="C9" s="157"/>
      <c r="E9" s="151" t="s">
        <v>288</v>
      </c>
      <c r="F9" s="152"/>
    </row>
    <row r="10" spans="1:8" s="146" customFormat="1" ht="24" hidden="1" customHeight="1">
      <c r="A10" s="155" t="s">
        <v>14</v>
      </c>
      <c r="D10" s="156"/>
      <c r="E10" s="151" t="s">
        <v>289</v>
      </c>
      <c r="F10" s="158">
        <v>384</v>
      </c>
    </row>
    <row r="11" spans="1:8" s="146" customFormat="1" ht="24" hidden="1" customHeight="1">
      <c r="A11" s="155" t="s">
        <v>290</v>
      </c>
      <c r="C11" s="159"/>
      <c r="D11" s="149"/>
      <c r="E11" s="160"/>
      <c r="F11" s="161"/>
    </row>
    <row r="12" spans="1:8">
      <c r="E12" s="163"/>
      <c r="G12" s="163" t="s">
        <v>341</v>
      </c>
    </row>
    <row r="13" spans="1:8" s="165" customFormat="1" ht="48.75" customHeight="1">
      <c r="A13" s="989" t="s">
        <v>813</v>
      </c>
      <c r="B13" s="989"/>
      <c r="C13" s="989"/>
      <c r="D13" s="989"/>
      <c r="E13" s="989"/>
      <c r="F13" s="989"/>
      <c r="G13" s="989"/>
      <c r="H13" s="181"/>
    </row>
    <row r="14" spans="1:8" ht="20.100000000000001" customHeight="1">
      <c r="A14" s="810" t="s">
        <v>14</v>
      </c>
    </row>
    <row r="15" spans="1:8" ht="30" customHeight="1">
      <c r="A15" s="1136" t="s">
        <v>300</v>
      </c>
      <c r="B15" s="1137"/>
      <c r="C15" s="715" t="s">
        <v>1121</v>
      </c>
      <c r="D15" s="1045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E15" s="1045"/>
      <c r="F15" s="1138" t="str">
        <f>"За " &amp; IF(MONTH('Общие сведения'!D2)=3, "январь-март " &amp; YEAR('Общие сведения'!D2)-1 &amp; " г.", IF(MONTH('Общие сведения'!D2)=6, "январь-июнь " &amp; YEAR('Общие сведения'!D2)-1 &amp; " г.", IF(MONTH('Общие сведения'!D2)=9, "январь-сентябрь " &amp; YEAR('Общие сведения'!D2)-1 &amp; " г.", YEAR('Общие сведения'!D2)-1 &amp; " г.")))</f>
        <v>За январь-март 2025 г.</v>
      </c>
      <c r="G15" s="1139"/>
    </row>
    <row r="16" spans="1:8" s="146" customFormat="1" ht="18" hidden="1" customHeight="1">
      <c r="A16" s="765" t="s">
        <v>1121</v>
      </c>
      <c r="B16" s="757"/>
      <c r="C16" s="757"/>
      <c r="D16" s="766" t="s">
        <v>1122</v>
      </c>
      <c r="E16" s="766" t="s">
        <v>1123</v>
      </c>
      <c r="F16" s="767" t="s">
        <v>1124</v>
      </c>
      <c r="G16" s="768" t="s">
        <v>1125</v>
      </c>
    </row>
    <row r="17" spans="1:7" ht="24.95" customHeight="1">
      <c r="A17" s="1140" t="s">
        <v>344</v>
      </c>
      <c r="B17" s="1141"/>
      <c r="C17" s="716">
        <v>10</v>
      </c>
      <c r="D17" s="1142"/>
      <c r="E17" s="1142"/>
      <c r="F17" s="1143"/>
      <c r="G17" s="1144"/>
    </row>
    <row r="18" spans="1:7" ht="24.95" customHeight="1">
      <c r="A18" s="1126" t="s">
        <v>1028</v>
      </c>
      <c r="B18" s="1127"/>
      <c r="C18" s="713">
        <v>20</v>
      </c>
      <c r="D18" s="1128"/>
      <c r="E18" s="1128"/>
      <c r="F18" s="1129"/>
      <c r="G18" s="1130"/>
    </row>
    <row r="19" spans="1:7" ht="24.95" customHeight="1">
      <c r="A19" s="1126" t="s">
        <v>345</v>
      </c>
      <c r="B19" s="1127"/>
      <c r="C19" s="713">
        <v>30</v>
      </c>
      <c r="D19" s="1128"/>
      <c r="E19" s="1128"/>
      <c r="F19" s="1129"/>
      <c r="G19" s="1130"/>
    </row>
    <row r="20" spans="1:7" ht="24.95" customHeight="1">
      <c r="A20" s="1126" t="s">
        <v>346</v>
      </c>
      <c r="B20" s="1127"/>
      <c r="C20" s="713">
        <v>40</v>
      </c>
      <c r="D20" s="1128"/>
      <c r="E20" s="1128"/>
      <c r="F20" s="1129"/>
      <c r="G20" s="1130"/>
    </row>
    <row r="21" spans="1:7" ht="24.95" customHeight="1">
      <c r="A21" s="1126" t="s">
        <v>347</v>
      </c>
      <c r="B21" s="1127"/>
      <c r="C21" s="713">
        <v>50</v>
      </c>
      <c r="D21" s="1128"/>
      <c r="E21" s="1128"/>
      <c r="F21" s="1129"/>
      <c r="G21" s="1130"/>
    </row>
    <row r="22" spans="1:7" ht="24.95" customHeight="1">
      <c r="A22" s="1126" t="s">
        <v>348</v>
      </c>
      <c r="B22" s="1127"/>
      <c r="C22" s="713">
        <v>60</v>
      </c>
      <c r="D22" s="1128"/>
      <c r="E22" s="1128"/>
      <c r="F22" s="1129"/>
      <c r="G22" s="1130"/>
    </row>
    <row r="23" spans="1:7" ht="33" customHeight="1">
      <c r="A23" s="1126" t="s">
        <v>811</v>
      </c>
      <c r="B23" s="1127"/>
      <c r="C23" s="713">
        <v>70</v>
      </c>
      <c r="D23" s="1128"/>
      <c r="E23" s="1128"/>
      <c r="F23" s="1129"/>
      <c r="G23" s="1130"/>
    </row>
    <row r="24" spans="1:7" ht="41.45" customHeight="1">
      <c r="A24" s="1131" t="s">
        <v>349</v>
      </c>
      <c r="B24" s="1132"/>
      <c r="C24" s="714">
        <v>80</v>
      </c>
      <c r="D24" s="1133"/>
      <c r="E24" s="1133"/>
      <c r="F24" s="1134"/>
      <c r="G24" s="1135"/>
    </row>
  </sheetData>
  <mergeCells count="28">
    <mergeCell ref="A13:G13"/>
    <mergeCell ref="A15:B15"/>
    <mergeCell ref="D15:E15"/>
    <mergeCell ref="F15:G15"/>
    <mergeCell ref="A23:B23"/>
    <mergeCell ref="D23:E23"/>
    <mergeCell ref="F23:G23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4:B24"/>
    <mergeCell ref="D24:E24"/>
    <mergeCell ref="F24:G24"/>
    <mergeCell ref="A21:B21"/>
    <mergeCell ref="D21:E21"/>
    <mergeCell ref="F21:G21"/>
    <mergeCell ref="A22:B22"/>
    <mergeCell ref="D22:E22"/>
    <mergeCell ref="F22:G22"/>
  </mergeCells>
  <pageMargins left="0.51181102362204722" right="0.23622047244094491" top="0.78740157480314965" bottom="0.43307086614173229" header="0.39370078740157483" footer="0.51181102362204722"/>
  <pageSetup paperSize="9" orientation="landscape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8" tint="0.79998168889431442"/>
    <pageSetUpPr fitToPage="1"/>
  </sheetPr>
  <dimension ref="A1:J32"/>
  <sheetViews>
    <sheetView zoomScale="70" zoomScaleNormal="70" workbookViewId="0">
      <selection activeCell="I53" sqref="I53"/>
    </sheetView>
  </sheetViews>
  <sheetFormatPr defaultColWidth="9.140625" defaultRowHeight="15.75"/>
  <cols>
    <col min="1" max="1" width="48.85546875" style="145" customWidth="1"/>
    <col min="2" max="2" width="8.140625" style="145" hidden="1" customWidth="1"/>
    <col min="3" max="3" width="18.85546875" style="145" bestFit="1" customWidth="1"/>
    <col min="4" max="4" width="15.7109375" style="145" customWidth="1"/>
    <col min="5" max="5" width="15.5703125" style="145" customWidth="1"/>
    <col min="6" max="6" width="16.85546875" style="145" customWidth="1"/>
    <col min="7" max="7" width="16.140625" style="145" customWidth="1"/>
    <col min="8" max="8" width="18.85546875" style="145" customWidth="1"/>
    <col min="9" max="9" width="6.7109375" style="145" customWidth="1"/>
    <col min="10" max="10" width="9.140625" style="788"/>
    <col min="11" max="16384" width="9.140625" style="145"/>
  </cols>
  <sheetData>
    <row r="1" spans="1:10" ht="18" customHeight="1"/>
    <row r="2" spans="1:10" s="146" customFormat="1" ht="24" hidden="1" customHeight="1">
      <c r="B2" s="147"/>
      <c r="D2" s="148"/>
      <c r="E2" s="149"/>
      <c r="F2" s="150" t="s">
        <v>12</v>
      </c>
      <c r="J2" s="800"/>
    </row>
    <row r="3" spans="1:10" s="146" customFormat="1" ht="24" hidden="1" customHeight="1">
      <c r="B3" s="147"/>
      <c r="E3" s="151"/>
      <c r="F3" s="152" t="s">
        <v>13</v>
      </c>
      <c r="J3" s="800"/>
    </row>
    <row r="4" spans="1:10" s="146" customFormat="1" ht="24" hidden="1" customHeight="1">
      <c r="B4" s="153"/>
      <c r="E4" s="151" t="s">
        <v>280</v>
      </c>
      <c r="F4" s="152"/>
      <c r="J4" s="800"/>
    </row>
    <row r="5" spans="1:10" s="146" customFormat="1" ht="24" hidden="1" customHeight="1">
      <c r="A5" s="154" t="s">
        <v>281</v>
      </c>
      <c r="C5" s="154"/>
      <c r="D5" s="154"/>
      <c r="E5" s="151" t="s">
        <v>282</v>
      </c>
      <c r="F5" s="152"/>
      <c r="J5" s="800"/>
    </row>
    <row r="6" spans="1:10" s="146" customFormat="1" ht="24" hidden="1" customHeight="1">
      <c r="A6" s="155" t="s">
        <v>283</v>
      </c>
      <c r="D6" s="156"/>
      <c r="E6" s="151" t="s">
        <v>284</v>
      </c>
      <c r="F6" s="152"/>
      <c r="J6" s="800"/>
    </row>
    <row r="7" spans="1:10" s="146" customFormat="1" ht="24" hidden="1" customHeight="1">
      <c r="A7" s="154" t="s">
        <v>285</v>
      </c>
      <c r="C7" s="154"/>
      <c r="D7" s="154"/>
      <c r="E7" s="151" t="s">
        <v>286</v>
      </c>
      <c r="F7" s="152"/>
      <c r="J7" s="800"/>
    </row>
    <row r="8" spans="1:10" s="146" customFormat="1" ht="24" hidden="1" customHeight="1">
      <c r="A8" s="154" t="s">
        <v>287</v>
      </c>
      <c r="D8" s="156"/>
      <c r="E8" s="151"/>
      <c r="F8" s="152"/>
      <c r="J8" s="800"/>
    </row>
    <row r="9" spans="1:10" s="146" customFormat="1" ht="24" hidden="1" customHeight="1">
      <c r="A9" s="157"/>
      <c r="C9" s="157"/>
      <c r="E9" s="151" t="s">
        <v>288</v>
      </c>
      <c r="F9" s="152"/>
      <c r="J9" s="800"/>
    </row>
    <row r="10" spans="1:10" s="146" customFormat="1" ht="24" hidden="1" customHeight="1">
      <c r="A10" s="155" t="s">
        <v>14</v>
      </c>
      <c r="D10" s="156"/>
      <c r="E10" s="151" t="s">
        <v>289</v>
      </c>
      <c r="F10" s="158">
        <v>384</v>
      </c>
      <c r="J10" s="800"/>
    </row>
    <row r="11" spans="1:10">
      <c r="I11" s="163" t="s">
        <v>342</v>
      </c>
    </row>
    <row r="12" spans="1:10" ht="21" customHeight="1">
      <c r="A12" s="989" t="s">
        <v>814</v>
      </c>
      <c r="B12" s="989"/>
      <c r="C12" s="989"/>
      <c r="D12" s="989"/>
      <c r="E12" s="989"/>
      <c r="F12" s="989"/>
      <c r="G12" s="989"/>
      <c r="H12" s="989"/>
      <c r="I12" s="989"/>
    </row>
    <row r="13" spans="1:10" ht="20.100000000000001" customHeight="1">
      <c r="A13" s="810" t="s">
        <v>14</v>
      </c>
      <c r="D13" s="185"/>
      <c r="E13" s="185"/>
      <c r="F13" s="185"/>
      <c r="G13" s="185"/>
      <c r="I13" s="185"/>
    </row>
    <row r="14" spans="1:10" ht="65.25" customHeight="1">
      <c r="A14" s="693" t="s">
        <v>300</v>
      </c>
      <c r="B14" s="715" t="s">
        <v>1121</v>
      </c>
      <c r="C14" s="182" t="s">
        <v>293</v>
      </c>
      <c r="D14" s="182" t="s">
        <v>351</v>
      </c>
      <c r="E14" s="279" t="s">
        <v>352</v>
      </c>
      <c r="F14" s="279" t="s">
        <v>353</v>
      </c>
      <c r="G14" s="279" t="s">
        <v>354</v>
      </c>
      <c r="H14" s="186" t="s">
        <v>355</v>
      </c>
    </row>
    <row r="15" spans="1:10" s="146" customFormat="1" ht="20.25" hidden="1" customHeight="1">
      <c r="A15" s="765" t="s">
        <v>1121</v>
      </c>
      <c r="B15" s="770"/>
      <c r="C15" s="771"/>
      <c r="D15" s="766" t="s">
        <v>1122</v>
      </c>
      <c r="E15" s="766" t="s">
        <v>1123</v>
      </c>
      <c r="F15" s="766" t="s">
        <v>1124</v>
      </c>
      <c r="G15" s="766" t="s">
        <v>1125</v>
      </c>
      <c r="H15" s="772" t="s">
        <v>1126</v>
      </c>
      <c r="J15" s="800"/>
    </row>
    <row r="16" spans="1:10" ht="30" customHeight="1">
      <c r="A16" s="1149" t="s">
        <v>356</v>
      </c>
      <c r="B16" s="769">
        <v>5</v>
      </c>
      <c r="C16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16" s="280">
        <f>D18+D20+D22+D24+D26+D28</f>
        <v>0</v>
      </c>
      <c r="E16" s="280">
        <f t="shared" ref="E16:G17" si="0">E18+E20+E22+E24+E26+E28</f>
        <v>0</v>
      </c>
      <c r="F16" s="280">
        <f t="shared" si="0"/>
        <v>0</v>
      </c>
      <c r="G16" s="280">
        <f t="shared" si="0"/>
        <v>0</v>
      </c>
      <c r="H16" s="281">
        <f t="shared" ref="H16:H28" si="1">D16+E16+F16+G16</f>
        <v>0</v>
      </c>
    </row>
    <row r="17" spans="1:10" s="316" customFormat="1" ht="30" hidden="1" customHeight="1">
      <c r="A17" s="1150"/>
      <c r="B17" s="731"/>
      <c r="C17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17" s="527">
        <f>D19+D21+D23+D25+D27+D29</f>
        <v>0</v>
      </c>
      <c r="E17" s="527">
        <f t="shared" si="0"/>
        <v>0</v>
      </c>
      <c r="F17" s="527">
        <f t="shared" si="0"/>
        <v>0</v>
      </c>
      <c r="G17" s="527">
        <f t="shared" si="0"/>
        <v>0</v>
      </c>
      <c r="H17" s="528">
        <f t="shared" si="1"/>
        <v>0</v>
      </c>
      <c r="J17" s="788" t="s">
        <v>1136</v>
      </c>
    </row>
    <row r="18" spans="1:10" ht="60" customHeight="1">
      <c r="A18" s="1145" t="s">
        <v>812</v>
      </c>
      <c r="B18" s="732">
        <v>10</v>
      </c>
      <c r="C18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18" s="230"/>
      <c r="E18" s="230"/>
      <c r="F18" s="230"/>
      <c r="G18" s="230"/>
      <c r="H18" s="281">
        <f t="shared" si="1"/>
        <v>0</v>
      </c>
    </row>
    <row r="19" spans="1:10" s="316" customFormat="1" ht="30" hidden="1" customHeight="1">
      <c r="A19" s="1146"/>
      <c r="B19" s="733"/>
      <c r="C19" s="565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19" s="562"/>
      <c r="E19" s="562"/>
      <c r="F19" s="562"/>
      <c r="G19" s="526"/>
      <c r="H19" s="528">
        <f t="shared" si="1"/>
        <v>0</v>
      </c>
      <c r="J19" s="788" t="s">
        <v>1136</v>
      </c>
    </row>
    <row r="20" spans="1:10" ht="30" customHeight="1">
      <c r="A20" s="1145" t="s">
        <v>357</v>
      </c>
      <c r="B20" s="732">
        <v>20</v>
      </c>
      <c r="C20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0" s="230"/>
      <c r="E20" s="230"/>
      <c r="F20" s="230"/>
      <c r="G20" s="230"/>
      <c r="H20" s="281">
        <f t="shared" si="1"/>
        <v>0</v>
      </c>
    </row>
    <row r="21" spans="1:10" s="316" customFormat="1" ht="30" hidden="1" customHeight="1">
      <c r="A21" s="1146"/>
      <c r="B21" s="733"/>
      <c r="C21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1" s="526"/>
      <c r="E21" s="526"/>
      <c r="F21" s="526"/>
      <c r="G21" s="526"/>
      <c r="H21" s="528">
        <f t="shared" si="1"/>
        <v>0</v>
      </c>
      <c r="J21" s="788" t="s">
        <v>1136</v>
      </c>
    </row>
    <row r="22" spans="1:10" ht="30" customHeight="1">
      <c r="A22" s="1145" t="s">
        <v>358</v>
      </c>
      <c r="B22" s="732">
        <v>30</v>
      </c>
      <c r="C22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2" s="230"/>
      <c r="E22" s="230"/>
      <c r="F22" s="230"/>
      <c r="G22" s="230"/>
      <c r="H22" s="281">
        <f t="shared" si="1"/>
        <v>0</v>
      </c>
    </row>
    <row r="23" spans="1:10" s="316" customFormat="1" ht="30" hidden="1" customHeight="1">
      <c r="A23" s="1146"/>
      <c r="B23" s="733"/>
      <c r="C23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3" s="526"/>
      <c r="E23" s="526"/>
      <c r="F23" s="526"/>
      <c r="G23" s="526"/>
      <c r="H23" s="528">
        <f t="shared" si="1"/>
        <v>0</v>
      </c>
      <c r="J23" s="788" t="s">
        <v>1136</v>
      </c>
    </row>
    <row r="24" spans="1:10" ht="30" customHeight="1">
      <c r="A24" s="1145" t="s">
        <v>359</v>
      </c>
      <c r="B24" s="732">
        <v>40</v>
      </c>
      <c r="C24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4" s="230"/>
      <c r="E24" s="230"/>
      <c r="F24" s="230"/>
      <c r="G24" s="230"/>
      <c r="H24" s="281">
        <f t="shared" si="1"/>
        <v>0</v>
      </c>
    </row>
    <row r="25" spans="1:10" s="316" customFormat="1" ht="30" hidden="1" customHeight="1">
      <c r="A25" s="1146"/>
      <c r="B25" s="733"/>
      <c r="C25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5" s="184"/>
      <c r="E25" s="184"/>
      <c r="F25" s="184"/>
      <c r="G25" s="184"/>
      <c r="H25" s="528">
        <f t="shared" si="1"/>
        <v>0</v>
      </c>
      <c r="J25" s="788" t="s">
        <v>1136</v>
      </c>
    </row>
    <row r="26" spans="1:10" ht="30" customHeight="1">
      <c r="A26" s="1145" t="s">
        <v>848</v>
      </c>
      <c r="B26" s="732">
        <v>50</v>
      </c>
      <c r="C26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6" s="184"/>
      <c r="E26" s="184"/>
      <c r="F26" s="184"/>
      <c r="G26" s="184"/>
      <c r="H26" s="281">
        <f t="shared" si="1"/>
        <v>0</v>
      </c>
    </row>
    <row r="27" spans="1:10" s="316" customFormat="1" ht="30" hidden="1" customHeight="1">
      <c r="A27" s="1146"/>
      <c r="B27" s="733"/>
      <c r="C27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7" s="184"/>
      <c r="E27" s="184"/>
      <c r="F27" s="184"/>
      <c r="G27" s="184"/>
      <c r="H27" s="528">
        <f t="shared" si="1"/>
        <v>0</v>
      </c>
      <c r="J27" s="788" t="s">
        <v>1136</v>
      </c>
    </row>
    <row r="28" spans="1:10" ht="30" customHeight="1">
      <c r="A28" s="1145" t="s">
        <v>360</v>
      </c>
      <c r="B28" s="732">
        <v>60</v>
      </c>
      <c r="C28" s="177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8" s="184"/>
      <c r="E28" s="184"/>
      <c r="F28" s="184"/>
      <c r="G28" s="184"/>
      <c r="H28" s="281">
        <f t="shared" si="1"/>
        <v>0</v>
      </c>
    </row>
    <row r="29" spans="1:10" s="316" customFormat="1" ht="30" hidden="1" customHeight="1">
      <c r="A29" s="1146"/>
      <c r="B29" s="733"/>
      <c r="C29" s="1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9" s="184"/>
      <c r="E29" s="184"/>
      <c r="F29" s="184"/>
      <c r="G29" s="184"/>
      <c r="H29" s="529">
        <f>D29+E29+F29+G29</f>
        <v>0</v>
      </c>
      <c r="J29" s="788" t="s">
        <v>1136</v>
      </c>
    </row>
    <row r="30" spans="1:10" ht="30" customHeight="1">
      <c r="A30" s="1147" t="s">
        <v>361</v>
      </c>
      <c r="B30" s="734">
        <v>70</v>
      </c>
      <c r="C30" s="82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0" s="825"/>
      <c r="E30" s="591" t="s">
        <v>1022</v>
      </c>
      <c r="F30" s="591" t="s">
        <v>1022</v>
      </c>
      <c r="G30" s="591" t="s">
        <v>1022</v>
      </c>
      <c r="H30" s="536"/>
    </row>
    <row r="31" spans="1:10" s="316" customFormat="1" ht="30" hidden="1" customHeight="1">
      <c r="A31" s="1148"/>
      <c r="B31" s="566"/>
      <c r="C31" s="277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1" s="546"/>
      <c r="E31" s="815" t="s">
        <v>1022</v>
      </c>
      <c r="F31" s="815" t="s">
        <v>1022</v>
      </c>
      <c r="G31" s="815" t="s">
        <v>1022</v>
      </c>
      <c r="H31" s="547"/>
      <c r="J31" s="788" t="s">
        <v>1136</v>
      </c>
    </row>
    <row r="32" spans="1:10">
      <c r="A32" s="827"/>
      <c r="B32" s="827"/>
      <c r="C32" s="827"/>
      <c r="D32" s="827"/>
      <c r="E32" s="827"/>
      <c r="F32" s="827"/>
      <c r="G32" s="827"/>
      <c r="H32" s="827"/>
    </row>
  </sheetData>
  <mergeCells count="9">
    <mergeCell ref="A24:A25"/>
    <mergeCell ref="A26:A27"/>
    <mergeCell ref="A28:A29"/>
    <mergeCell ref="A30:A31"/>
    <mergeCell ref="A12:I12"/>
    <mergeCell ref="A16:A17"/>
    <mergeCell ref="A18:A19"/>
    <mergeCell ref="A20:A21"/>
    <mergeCell ref="A22:A23"/>
  </mergeCells>
  <pageMargins left="0.62992125984251968" right="0.23622047244094491" top="0.55118110236220474" bottom="0.43307086614173229" header="0.35433070866141736" footer="0.51181102362204722"/>
  <pageSetup paperSize="9" scale="89" orientation="landscape" r:id="rId1"/>
  <headerFooter alignWithMargins="0"/>
  <ignoredErrors>
    <ignoredError sqref="C17:C30 C31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theme="8" tint="0.79998168889431442"/>
    <pageSetUpPr fitToPage="1"/>
  </sheetPr>
  <dimension ref="A1:Q39"/>
  <sheetViews>
    <sheetView zoomScale="75" zoomScaleNormal="75" workbookViewId="0">
      <selection activeCell="I53" sqref="I53"/>
    </sheetView>
  </sheetViews>
  <sheetFormatPr defaultColWidth="9.140625" defaultRowHeight="15.75"/>
  <cols>
    <col min="1" max="1" width="21.85546875" style="145" customWidth="1"/>
    <col min="2" max="2" width="9.140625" style="145" hidden="1" customWidth="1"/>
    <col min="3" max="3" width="19.42578125" style="145" bestFit="1" customWidth="1"/>
    <col min="4" max="4" width="15.28515625" style="145" customWidth="1"/>
    <col min="5" max="5" width="13.85546875" style="145" customWidth="1"/>
    <col min="6" max="6" width="18.7109375" style="316" customWidth="1"/>
    <col min="7" max="9" width="18.7109375" style="145" customWidth="1"/>
    <col min="10" max="11" width="14.42578125" style="145" customWidth="1"/>
    <col min="12" max="13" width="18.7109375" style="145" customWidth="1"/>
    <col min="14" max="14" width="16.28515625" style="145" customWidth="1"/>
    <col min="15" max="15" width="13.5703125" style="145" customWidth="1"/>
    <col min="16" max="16" width="9.140625" style="145"/>
    <col min="17" max="17" width="9.140625" style="788"/>
    <col min="18" max="16384" width="9.140625" style="145"/>
  </cols>
  <sheetData>
    <row r="1" spans="1:17" ht="12.75" customHeight="1"/>
    <row r="2" spans="1:17" s="146" customFormat="1" ht="24" hidden="1" customHeight="1">
      <c r="B2" s="147"/>
      <c r="D2" s="148"/>
      <c r="E2" s="149"/>
      <c r="F2" s="317"/>
      <c r="Q2" s="800"/>
    </row>
    <row r="3" spans="1:17" s="146" customFormat="1" ht="24" hidden="1" customHeight="1">
      <c r="B3" s="147"/>
      <c r="E3" s="151"/>
      <c r="F3" s="317"/>
      <c r="Q3" s="800"/>
    </row>
    <row r="4" spans="1:17" s="146" customFormat="1" ht="24" hidden="1" customHeight="1">
      <c r="B4" s="153"/>
      <c r="E4" s="151" t="s">
        <v>280</v>
      </c>
      <c r="F4" s="317"/>
      <c r="Q4" s="800"/>
    </row>
    <row r="5" spans="1:17" s="146" customFormat="1" ht="24" hidden="1" customHeight="1">
      <c r="A5" s="154" t="s">
        <v>281</v>
      </c>
      <c r="C5" s="154"/>
      <c r="D5" s="154"/>
      <c r="E5" s="151" t="s">
        <v>282</v>
      </c>
      <c r="F5" s="317"/>
      <c r="Q5" s="800"/>
    </row>
    <row r="6" spans="1:17" s="146" customFormat="1" ht="24" hidden="1" customHeight="1">
      <c r="A6" s="155" t="s">
        <v>283</v>
      </c>
      <c r="D6" s="156"/>
      <c r="E6" s="151" t="s">
        <v>284</v>
      </c>
      <c r="F6" s="317"/>
      <c r="Q6" s="800"/>
    </row>
    <row r="7" spans="1:17" s="146" customFormat="1" ht="24" hidden="1" customHeight="1">
      <c r="A7" s="154" t="s">
        <v>285</v>
      </c>
      <c r="C7" s="154"/>
      <c r="D7" s="154"/>
      <c r="E7" s="151" t="s">
        <v>286</v>
      </c>
      <c r="F7" s="317"/>
      <c r="Q7" s="800"/>
    </row>
    <row r="8" spans="1:17" s="146" customFormat="1" ht="24" hidden="1" customHeight="1">
      <c r="A8" s="154" t="s">
        <v>287</v>
      </c>
      <c r="D8" s="156"/>
      <c r="E8" s="151"/>
      <c r="F8" s="317"/>
      <c r="Q8" s="800"/>
    </row>
    <row r="9" spans="1:17" s="146" customFormat="1" ht="24" hidden="1" customHeight="1">
      <c r="A9" s="157"/>
      <c r="C9" s="157"/>
      <c r="E9" s="151" t="s">
        <v>288</v>
      </c>
      <c r="F9" s="317"/>
      <c r="Q9" s="800"/>
    </row>
    <row r="10" spans="1:17" s="146" customFormat="1" ht="24" hidden="1" customHeight="1">
      <c r="A10" s="155" t="s">
        <v>14</v>
      </c>
      <c r="D10" s="156"/>
      <c r="E10" s="151" t="s">
        <v>289</v>
      </c>
      <c r="F10" s="317"/>
      <c r="Q10" s="800"/>
    </row>
    <row r="11" spans="1:17" s="146" customFormat="1" ht="24" hidden="1" customHeight="1">
      <c r="A11" s="155" t="s">
        <v>290</v>
      </c>
      <c r="C11" s="159"/>
      <c r="D11" s="149"/>
      <c r="E11" s="160"/>
      <c r="F11" s="317"/>
      <c r="Q11" s="800"/>
    </row>
    <row r="12" spans="1:17" ht="9" customHeight="1"/>
    <row r="13" spans="1:17" ht="19.5">
      <c r="A13" s="1151"/>
      <c r="B13" s="1151"/>
      <c r="C13" s="1151"/>
      <c r="D13" s="1151"/>
      <c r="E13" s="1151"/>
      <c r="F13" s="1151"/>
      <c r="G13" s="1151"/>
      <c r="H13" s="1151"/>
      <c r="I13" s="1151"/>
      <c r="J13" s="1151"/>
      <c r="K13" s="1151"/>
      <c r="L13" s="1151"/>
      <c r="M13" s="1151"/>
      <c r="N13" s="1151"/>
      <c r="O13" s="1151"/>
    </row>
    <row r="14" spans="1:17" s="188" customFormat="1" ht="20.25" customHeight="1">
      <c r="A14" s="187"/>
      <c r="B14" s="187"/>
      <c r="C14" s="187"/>
      <c r="D14" s="187"/>
      <c r="E14" s="187"/>
      <c r="F14" s="318"/>
      <c r="O14" s="163" t="s">
        <v>343</v>
      </c>
      <c r="Q14" s="801"/>
    </row>
    <row r="15" spans="1:17" s="165" customFormat="1" ht="42.6" customHeight="1">
      <c r="A15" s="968" t="s">
        <v>1032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968"/>
      <c r="O15" s="968"/>
      <c r="Q15" s="799"/>
    </row>
    <row r="16" spans="1:17" ht="20.100000000000001" customHeight="1">
      <c r="A16" s="810" t="s">
        <v>14</v>
      </c>
    </row>
    <row r="17" spans="1:17" s="168" customFormat="1" ht="15.75" customHeight="1">
      <c r="A17" s="969" t="s">
        <v>0</v>
      </c>
      <c r="B17" s="1059" t="s">
        <v>1121</v>
      </c>
      <c r="C17" s="975" t="s">
        <v>293</v>
      </c>
      <c r="D17" s="977" t="s">
        <v>294</v>
      </c>
      <c r="E17" s="978"/>
      <c r="F17" s="977" t="s">
        <v>295</v>
      </c>
      <c r="G17" s="979"/>
      <c r="H17" s="979"/>
      <c r="I17" s="979"/>
      <c r="J17" s="979"/>
      <c r="K17" s="979"/>
      <c r="L17" s="979"/>
      <c r="M17" s="978"/>
      <c r="N17" s="977" t="s">
        <v>296</v>
      </c>
      <c r="O17" s="980"/>
      <c r="Q17" s="792"/>
    </row>
    <row r="18" spans="1:17" s="168" customFormat="1" ht="42.75" customHeight="1">
      <c r="A18" s="970"/>
      <c r="B18" s="1060"/>
      <c r="C18" s="976"/>
      <c r="D18" s="1153" t="s">
        <v>794</v>
      </c>
      <c r="E18" s="1153" t="s">
        <v>870</v>
      </c>
      <c r="F18" s="957" t="s">
        <v>832</v>
      </c>
      <c r="G18" s="958"/>
      <c r="H18" s="957" t="s">
        <v>836</v>
      </c>
      <c r="I18" s="958"/>
      <c r="J18" s="959" t="s">
        <v>834</v>
      </c>
      <c r="K18" s="959" t="s">
        <v>837</v>
      </c>
      <c r="L18" s="1008" t="s">
        <v>835</v>
      </c>
      <c r="M18" s="1009"/>
      <c r="N18" s="1153" t="s">
        <v>794</v>
      </c>
      <c r="O18" s="1155" t="s">
        <v>862</v>
      </c>
      <c r="Q18" s="792"/>
    </row>
    <row r="19" spans="1:17" s="168" customFormat="1" ht="57.75" customHeight="1">
      <c r="A19" s="971"/>
      <c r="B19" s="1152"/>
      <c r="C19" s="960"/>
      <c r="D19" s="1154"/>
      <c r="E19" s="1154"/>
      <c r="F19" s="327" t="s">
        <v>792</v>
      </c>
      <c r="G19" s="327" t="s">
        <v>793</v>
      </c>
      <c r="H19" s="327" t="s">
        <v>792</v>
      </c>
      <c r="I19" s="327" t="s">
        <v>793</v>
      </c>
      <c r="J19" s="960"/>
      <c r="K19" s="960"/>
      <c r="L19" s="327" t="s">
        <v>792</v>
      </c>
      <c r="M19" s="327" t="s">
        <v>793</v>
      </c>
      <c r="N19" s="1154"/>
      <c r="O19" s="1156"/>
      <c r="Q19" s="792"/>
    </row>
    <row r="20" spans="1:17" s="146" customFormat="1" ht="18.75" hidden="1" customHeight="1">
      <c r="A20" s="754" t="s">
        <v>1121</v>
      </c>
      <c r="B20" s="757"/>
      <c r="C20" s="757"/>
      <c r="D20" s="740" t="s">
        <v>1122</v>
      </c>
      <c r="E20" s="740" t="s">
        <v>1123</v>
      </c>
      <c r="F20" s="740" t="s">
        <v>1124</v>
      </c>
      <c r="G20" s="740" t="s">
        <v>1125</v>
      </c>
      <c r="H20" s="740" t="s">
        <v>1126</v>
      </c>
      <c r="I20" s="740" t="s">
        <v>1127</v>
      </c>
      <c r="J20" s="740" t="s">
        <v>1128</v>
      </c>
      <c r="K20" s="740" t="s">
        <v>1129</v>
      </c>
      <c r="L20" s="740" t="s">
        <v>1130</v>
      </c>
      <c r="M20" s="740" t="s">
        <v>1131</v>
      </c>
      <c r="N20" s="740" t="s">
        <v>1132</v>
      </c>
      <c r="O20" s="753" t="s">
        <v>1133</v>
      </c>
      <c r="Q20" s="800"/>
    </row>
    <row r="21" spans="1:17" s="168" customFormat="1" ht="51.75" customHeight="1">
      <c r="A21" s="965" t="s">
        <v>860</v>
      </c>
      <c r="B21" s="735">
        <v>5</v>
      </c>
      <c r="C21" s="673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1" s="280">
        <f t="shared" ref="D21:O22" si="0">D25+D27</f>
        <v>0</v>
      </c>
      <c r="E21" s="280">
        <f t="shared" si="0"/>
        <v>0</v>
      </c>
      <c r="F21" s="322">
        <f t="shared" ref="F21" si="1">F25+F27</f>
        <v>0</v>
      </c>
      <c r="G21" s="280">
        <f t="shared" si="0"/>
        <v>0</v>
      </c>
      <c r="H21" s="280">
        <f t="shared" si="0"/>
        <v>0</v>
      </c>
      <c r="I21" s="280">
        <f t="shared" si="0"/>
        <v>0</v>
      </c>
      <c r="J21" s="280">
        <f t="shared" si="0"/>
        <v>0</v>
      </c>
      <c r="K21" s="280">
        <f t="shared" si="0"/>
        <v>0</v>
      </c>
      <c r="L21" s="280">
        <f t="shared" si="0"/>
        <v>0</v>
      </c>
      <c r="M21" s="280">
        <f t="shared" si="0"/>
        <v>0</v>
      </c>
      <c r="N21" s="280">
        <f t="shared" si="0"/>
        <v>0</v>
      </c>
      <c r="O21" s="281">
        <f t="shared" si="0"/>
        <v>0</v>
      </c>
      <c r="Q21" s="792"/>
    </row>
    <row r="22" spans="1:17" ht="32.1" hidden="1" customHeight="1">
      <c r="A22" s="966"/>
      <c r="B22" s="719"/>
      <c r="C22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2" s="280">
        <f t="shared" ref="D22:L22" si="2">D26+D28</f>
        <v>0</v>
      </c>
      <c r="E22" s="280">
        <f t="shared" si="2"/>
        <v>0</v>
      </c>
      <c r="F22" s="322">
        <f t="shared" ref="F22" si="3">F26+F28</f>
        <v>0</v>
      </c>
      <c r="G22" s="280">
        <f t="shared" si="2"/>
        <v>0</v>
      </c>
      <c r="H22" s="280">
        <f t="shared" si="2"/>
        <v>0</v>
      </c>
      <c r="I22" s="280">
        <f t="shared" si="2"/>
        <v>0</v>
      </c>
      <c r="J22" s="280">
        <f t="shared" si="2"/>
        <v>0</v>
      </c>
      <c r="K22" s="280">
        <f t="shared" si="2"/>
        <v>0</v>
      </c>
      <c r="L22" s="280">
        <f t="shared" si="2"/>
        <v>0</v>
      </c>
      <c r="M22" s="280">
        <f t="shared" si="0"/>
        <v>0</v>
      </c>
      <c r="N22" s="280">
        <f t="shared" si="0"/>
        <v>0</v>
      </c>
      <c r="O22" s="281">
        <f t="shared" si="0"/>
        <v>0</v>
      </c>
      <c r="Q22" s="788" t="s">
        <v>1136</v>
      </c>
    </row>
    <row r="23" spans="1:17" ht="20.25" customHeight="1">
      <c r="A23" s="278" t="s">
        <v>306</v>
      </c>
      <c r="B23" s="724"/>
      <c r="C23" s="287"/>
      <c r="D23" s="228"/>
      <c r="E23" s="228"/>
      <c r="F23" s="319"/>
      <c r="G23" s="228"/>
      <c r="H23" s="228"/>
      <c r="I23" s="228"/>
      <c r="J23" s="228"/>
      <c r="K23" s="228"/>
      <c r="L23" s="228"/>
      <c r="M23" s="228"/>
      <c r="N23" s="228"/>
      <c r="O23" s="229"/>
    </row>
    <row r="24" spans="1:17" ht="15.75" hidden="1" customHeight="1">
      <c r="A24" s="258"/>
      <c r="B24" s="736"/>
      <c r="C24" s="690"/>
      <c r="D24" s="289"/>
      <c r="E24" s="289"/>
      <c r="F24" s="323"/>
      <c r="G24" s="289"/>
      <c r="H24" s="289"/>
      <c r="I24" s="289"/>
      <c r="J24" s="289"/>
      <c r="K24" s="289"/>
      <c r="L24" s="289"/>
      <c r="M24" s="289"/>
      <c r="N24" s="289"/>
      <c r="O24" s="290"/>
    </row>
    <row r="25" spans="1:17" ht="32.1" customHeight="1">
      <c r="A25" s="981" t="s">
        <v>363</v>
      </c>
      <c r="B25" s="719">
        <v>10</v>
      </c>
      <c r="C25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5" s="230"/>
      <c r="E25" s="230"/>
      <c r="F25" s="320"/>
      <c r="G25" s="230"/>
      <c r="H25" s="230"/>
      <c r="I25" s="230"/>
      <c r="J25" s="230"/>
      <c r="K25" s="230"/>
      <c r="L25" s="230"/>
      <c r="M25" s="230"/>
      <c r="N25" s="289">
        <f>D25+F25+H25+L25</f>
        <v>0</v>
      </c>
      <c r="O25" s="290">
        <f>E25+G25+I25+J25+K25+M25</f>
        <v>0</v>
      </c>
    </row>
    <row r="26" spans="1:17" ht="32.1" hidden="1" customHeight="1">
      <c r="A26" s="982"/>
      <c r="B26" s="719"/>
      <c r="C26" s="691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6" s="562"/>
      <c r="E26" s="562"/>
      <c r="F26" s="562"/>
      <c r="G26" s="562"/>
      <c r="H26" s="562"/>
      <c r="I26" s="230"/>
      <c r="J26" s="230"/>
      <c r="K26" s="230"/>
      <c r="L26" s="230"/>
      <c r="M26" s="230"/>
      <c r="N26" s="323">
        <f t="shared" ref="N26:N38" si="4">D26+F26+H26+L26</f>
        <v>0</v>
      </c>
      <c r="O26" s="290">
        <f t="shared" ref="O26:O38" si="5">E26+G26+I26+J26+K26+M26</f>
        <v>0</v>
      </c>
      <c r="Q26" s="788" t="s">
        <v>1136</v>
      </c>
    </row>
    <row r="27" spans="1:17" ht="32.1" customHeight="1">
      <c r="A27" s="981" t="s">
        <v>1</v>
      </c>
      <c r="B27" s="719">
        <v>20</v>
      </c>
      <c r="C27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7" s="230"/>
      <c r="E27" s="230"/>
      <c r="F27" s="320"/>
      <c r="G27" s="230"/>
      <c r="H27" s="230"/>
      <c r="I27" s="230"/>
      <c r="J27" s="230"/>
      <c r="K27" s="230"/>
      <c r="L27" s="230"/>
      <c r="M27" s="230"/>
      <c r="N27" s="323">
        <f t="shared" si="4"/>
        <v>0</v>
      </c>
      <c r="O27" s="290">
        <f t="shared" si="5"/>
        <v>0</v>
      </c>
    </row>
    <row r="28" spans="1:17" ht="32.1" hidden="1" customHeight="1">
      <c r="A28" s="982"/>
      <c r="B28" s="719"/>
      <c r="C28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28" s="230"/>
      <c r="E28" s="230"/>
      <c r="F28" s="320"/>
      <c r="G28" s="230"/>
      <c r="H28" s="230"/>
      <c r="I28" s="230"/>
      <c r="J28" s="230"/>
      <c r="K28" s="230"/>
      <c r="L28" s="230"/>
      <c r="M28" s="230"/>
      <c r="N28" s="323">
        <f t="shared" si="4"/>
        <v>0</v>
      </c>
      <c r="O28" s="290">
        <f t="shared" si="5"/>
        <v>0</v>
      </c>
      <c r="Q28" s="788" t="s">
        <v>1136</v>
      </c>
    </row>
    <row r="29" spans="1:17" ht="48.75" customHeight="1">
      <c r="A29" s="1052" t="s">
        <v>861</v>
      </c>
      <c r="B29" s="719">
        <v>55</v>
      </c>
      <c r="C29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29" s="230">
        <f t="shared" ref="D29:M30" si="6">D31+D33+D35+D37</f>
        <v>0</v>
      </c>
      <c r="E29" s="230">
        <f t="shared" si="6"/>
        <v>0</v>
      </c>
      <c r="F29" s="320">
        <f t="shared" ref="F29" si="7">F31+F33+F35+F37</f>
        <v>0</v>
      </c>
      <c r="G29" s="230">
        <f t="shared" si="6"/>
        <v>0</v>
      </c>
      <c r="H29" s="230">
        <f t="shared" si="6"/>
        <v>0</v>
      </c>
      <c r="I29" s="230">
        <f t="shared" si="6"/>
        <v>0</v>
      </c>
      <c r="J29" s="230">
        <f t="shared" si="6"/>
        <v>0</v>
      </c>
      <c r="K29" s="326">
        <f t="shared" ref="K29" si="8">K31+K33+K35+K37</f>
        <v>0</v>
      </c>
      <c r="L29" s="230">
        <f t="shared" si="6"/>
        <v>0</v>
      </c>
      <c r="M29" s="230">
        <f t="shared" si="6"/>
        <v>0</v>
      </c>
      <c r="N29" s="323">
        <f t="shared" si="4"/>
        <v>0</v>
      </c>
      <c r="O29" s="290">
        <f t="shared" si="5"/>
        <v>0</v>
      </c>
    </row>
    <row r="30" spans="1:17" ht="32.1" hidden="1" customHeight="1">
      <c r="A30" s="966"/>
      <c r="B30" s="719"/>
      <c r="C30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0" s="230">
        <f t="shared" si="6"/>
        <v>0</v>
      </c>
      <c r="E30" s="230">
        <f t="shared" si="6"/>
        <v>0</v>
      </c>
      <c r="F30" s="320">
        <f t="shared" ref="F30" si="9">F32+F34+F36+F38</f>
        <v>0</v>
      </c>
      <c r="G30" s="230">
        <f t="shared" si="6"/>
        <v>0</v>
      </c>
      <c r="H30" s="230">
        <f t="shared" si="6"/>
        <v>0</v>
      </c>
      <c r="I30" s="230">
        <f t="shared" si="6"/>
        <v>0</v>
      </c>
      <c r="J30" s="230">
        <f t="shared" si="6"/>
        <v>0</v>
      </c>
      <c r="K30" s="326">
        <f t="shared" ref="K30" si="10">K32+K34+K36+K38</f>
        <v>0</v>
      </c>
      <c r="L30" s="230">
        <f t="shared" si="6"/>
        <v>0</v>
      </c>
      <c r="M30" s="230">
        <f t="shared" si="6"/>
        <v>0</v>
      </c>
      <c r="N30" s="323">
        <f t="shared" si="4"/>
        <v>0</v>
      </c>
      <c r="O30" s="290">
        <f t="shared" si="5"/>
        <v>0</v>
      </c>
      <c r="Q30" s="788" t="s">
        <v>1136</v>
      </c>
    </row>
    <row r="31" spans="1:17" ht="32.1" customHeight="1">
      <c r="A31" s="981" t="s">
        <v>315</v>
      </c>
      <c r="B31" s="719">
        <v>60</v>
      </c>
      <c r="C31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1" s="230"/>
      <c r="E31" s="230"/>
      <c r="F31" s="320"/>
      <c r="G31" s="230"/>
      <c r="H31" s="230"/>
      <c r="I31" s="230"/>
      <c r="J31" s="230"/>
      <c r="K31" s="230"/>
      <c r="L31" s="230"/>
      <c r="M31" s="230"/>
      <c r="N31" s="323">
        <f t="shared" si="4"/>
        <v>0</v>
      </c>
      <c r="O31" s="290">
        <f t="shared" si="5"/>
        <v>0</v>
      </c>
    </row>
    <row r="32" spans="1:17" ht="32.1" hidden="1" customHeight="1">
      <c r="A32" s="982"/>
      <c r="B32" s="719"/>
      <c r="C32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2" s="230"/>
      <c r="E32" s="230"/>
      <c r="F32" s="320"/>
      <c r="G32" s="230"/>
      <c r="H32" s="230"/>
      <c r="I32" s="230"/>
      <c r="J32" s="230"/>
      <c r="K32" s="230"/>
      <c r="L32" s="230"/>
      <c r="M32" s="230"/>
      <c r="N32" s="323">
        <f t="shared" si="4"/>
        <v>0</v>
      </c>
      <c r="O32" s="290">
        <f t="shared" si="5"/>
        <v>0</v>
      </c>
      <c r="Q32" s="788" t="s">
        <v>1136</v>
      </c>
    </row>
    <row r="33" spans="1:17" ht="32.1" customHeight="1">
      <c r="A33" s="981" t="s">
        <v>308</v>
      </c>
      <c r="B33" s="719">
        <v>70</v>
      </c>
      <c r="C33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3" s="230"/>
      <c r="E33" s="230"/>
      <c r="F33" s="320"/>
      <c r="G33" s="230"/>
      <c r="H33" s="230"/>
      <c r="I33" s="230"/>
      <c r="J33" s="230"/>
      <c r="K33" s="230"/>
      <c r="L33" s="230"/>
      <c r="M33" s="230"/>
      <c r="N33" s="323">
        <f t="shared" si="4"/>
        <v>0</v>
      </c>
      <c r="O33" s="290">
        <f t="shared" si="5"/>
        <v>0</v>
      </c>
    </row>
    <row r="34" spans="1:17" ht="32.1" hidden="1" customHeight="1">
      <c r="A34" s="982"/>
      <c r="B34" s="719"/>
      <c r="C34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4" s="230"/>
      <c r="E34" s="230"/>
      <c r="F34" s="320"/>
      <c r="G34" s="230"/>
      <c r="H34" s="230"/>
      <c r="I34" s="230"/>
      <c r="J34" s="230"/>
      <c r="K34" s="230"/>
      <c r="L34" s="230"/>
      <c r="M34" s="230"/>
      <c r="N34" s="323">
        <f t="shared" si="4"/>
        <v>0</v>
      </c>
      <c r="O34" s="290">
        <f t="shared" si="5"/>
        <v>0</v>
      </c>
      <c r="Q34" s="788" t="s">
        <v>1136</v>
      </c>
    </row>
    <row r="35" spans="1:17" ht="32.1" customHeight="1">
      <c r="A35" s="981" t="s">
        <v>309</v>
      </c>
      <c r="B35" s="719">
        <v>80</v>
      </c>
      <c r="C35" s="678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5" s="280"/>
      <c r="E35" s="280"/>
      <c r="F35" s="322"/>
      <c r="G35" s="280"/>
      <c r="H35" s="280"/>
      <c r="I35" s="280"/>
      <c r="J35" s="280"/>
      <c r="K35" s="280"/>
      <c r="L35" s="280"/>
      <c r="M35" s="280"/>
      <c r="N35" s="323">
        <f t="shared" si="4"/>
        <v>0</v>
      </c>
      <c r="O35" s="290">
        <f t="shared" si="5"/>
        <v>0</v>
      </c>
    </row>
    <row r="36" spans="1:17" ht="32.1" hidden="1" customHeight="1">
      <c r="A36" s="982"/>
      <c r="B36" s="719"/>
      <c r="C36" s="678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6" s="280"/>
      <c r="E36" s="280"/>
      <c r="F36" s="322"/>
      <c r="G36" s="280"/>
      <c r="H36" s="280"/>
      <c r="I36" s="280"/>
      <c r="J36" s="280"/>
      <c r="K36" s="280"/>
      <c r="L36" s="280"/>
      <c r="M36" s="280"/>
      <c r="N36" s="323">
        <f t="shared" si="4"/>
        <v>0</v>
      </c>
      <c r="O36" s="290">
        <f t="shared" si="5"/>
        <v>0</v>
      </c>
      <c r="Q36" s="788" t="s">
        <v>1136</v>
      </c>
    </row>
    <row r="37" spans="1:17" ht="32.1" customHeight="1">
      <c r="A37" s="981" t="s">
        <v>311</v>
      </c>
      <c r="B37" s="722">
        <v>90</v>
      </c>
      <c r="C37" s="784" t="str">
        <f>"за " &amp; IF(MONTH('Общие сведения'!D2)=3, "январь-март " &amp; YEAR('Общие сведения'!D2) &amp; " г.", IF(MONTH('Общие сведения'!D2)=6, "январь-июнь " &amp; YEAR('Общие сведения'!D2) &amp; " г.", IF(MONTH('Общие сведения'!D2)=9, "январь-сентябрь " &amp; YEAR('Общие сведения'!D2) &amp; " г.", YEAR('Общие сведения'!D2) &amp; " г.")))</f>
        <v>за январь-март 2026 г.</v>
      </c>
      <c r="D37" s="785"/>
      <c r="E37" s="785"/>
      <c r="F37" s="785"/>
      <c r="G37" s="785"/>
      <c r="H37" s="785"/>
      <c r="I37" s="785"/>
      <c r="J37" s="785"/>
      <c r="K37" s="785"/>
      <c r="L37" s="785"/>
      <c r="M37" s="785"/>
      <c r="N37" s="323">
        <f t="shared" si="4"/>
        <v>0</v>
      </c>
      <c r="O37" s="290">
        <f t="shared" si="5"/>
        <v>0</v>
      </c>
    </row>
    <row r="38" spans="1:17" ht="32.1" hidden="1" customHeight="1">
      <c r="A38" s="983"/>
      <c r="B38" s="277"/>
      <c r="C38" s="783" t="str">
        <f>"за " &amp; IF(MONTH('Общие сведения'!D2)=3, "3 мес. " &amp; YEAR('Общие сведения'!D2)-1 &amp; " г.", IF(MONTH('Общие сведения'!D2)=12, YEAR('Общие сведения'!D2)-1 &amp; " г.",MONTH('Общие сведения'!D2) &amp; " мес. " &amp; YEAR('Общие сведения'!D2)-1 &amp; " г."))</f>
        <v>за 3 мес. 2025 г.</v>
      </c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63">
        <f t="shared" si="4"/>
        <v>0</v>
      </c>
      <c r="O38" s="564">
        <f t="shared" si="5"/>
        <v>0</v>
      </c>
      <c r="Q38" s="788" t="s">
        <v>1136</v>
      </c>
    </row>
    <row r="39" spans="1:17">
      <c r="A39" s="827"/>
      <c r="B39" s="827"/>
      <c r="C39" s="827"/>
      <c r="D39" s="827"/>
      <c r="E39" s="827"/>
      <c r="F39" s="827"/>
      <c r="G39" s="827"/>
      <c r="H39" s="827"/>
      <c r="I39" s="827"/>
      <c r="J39" s="827"/>
      <c r="K39" s="827"/>
      <c r="L39" s="827"/>
      <c r="M39" s="827"/>
      <c r="N39" s="827"/>
      <c r="O39" s="827"/>
    </row>
  </sheetData>
  <mergeCells count="25">
    <mergeCell ref="J18:J19"/>
    <mergeCell ref="A13:O13"/>
    <mergeCell ref="A15:O15"/>
    <mergeCell ref="A17:A19"/>
    <mergeCell ref="B17:B19"/>
    <mergeCell ref="C17:C19"/>
    <mergeCell ref="D17:E17"/>
    <mergeCell ref="N17:O17"/>
    <mergeCell ref="D18:D19"/>
    <mergeCell ref="E18:E19"/>
    <mergeCell ref="N18:N19"/>
    <mergeCell ref="O18:O19"/>
    <mergeCell ref="L18:M18"/>
    <mergeCell ref="K18:K19"/>
    <mergeCell ref="F18:G18"/>
    <mergeCell ref="F17:M17"/>
    <mergeCell ref="A31:A32"/>
    <mergeCell ref="A33:A34"/>
    <mergeCell ref="A35:A36"/>
    <mergeCell ref="A37:A38"/>
    <mergeCell ref="H18:I18"/>
    <mergeCell ref="A21:A22"/>
    <mergeCell ref="A25:A26"/>
    <mergeCell ref="A27:A28"/>
    <mergeCell ref="A29:A30"/>
  </mergeCells>
  <pageMargins left="0.78740157480314965" right="0.78740157480314965" top="0.98425196850393704" bottom="0.98425196850393704" header="0.51181102362204722" footer="0.51181102362204722"/>
  <pageSetup paperSize="9" scale="54" orientation="landscape" r:id="rId1"/>
  <headerFooter alignWithMargins="0"/>
  <ignoredErrors>
    <ignoredError sqref="C26:C37 C38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theme="8" tint="0.79998168889431442"/>
    <pageSetUpPr fitToPage="1"/>
  </sheetPr>
  <dimension ref="A2:J28"/>
  <sheetViews>
    <sheetView zoomScale="75" zoomScaleNormal="75" workbookViewId="0">
      <selection activeCell="I53" sqref="I53"/>
    </sheetView>
  </sheetViews>
  <sheetFormatPr defaultColWidth="9.140625" defaultRowHeight="15.75"/>
  <cols>
    <col min="1" max="1" width="35" style="145" customWidth="1"/>
    <col min="2" max="2" width="8.140625" style="145" customWidth="1"/>
    <col min="3" max="3" width="8.7109375" style="145" hidden="1" customWidth="1"/>
    <col min="4" max="7" width="26" style="145" customWidth="1"/>
    <col min="8" max="9" width="26" style="145" hidden="1" customWidth="1"/>
    <col min="10" max="16384" width="9.140625" style="145"/>
  </cols>
  <sheetData>
    <row r="2" spans="1:10" s="146" customFormat="1" ht="24" hidden="1" customHeight="1">
      <c r="B2" s="147"/>
      <c r="D2" s="148"/>
      <c r="E2" s="149"/>
      <c r="F2" s="150" t="s">
        <v>12</v>
      </c>
    </row>
    <row r="3" spans="1:10" s="146" customFormat="1" ht="24" hidden="1" customHeight="1">
      <c r="B3" s="147"/>
      <c r="E3" s="151"/>
      <c r="F3" s="152" t="s">
        <v>13</v>
      </c>
    </row>
    <row r="4" spans="1:10" s="146" customFormat="1" ht="24" hidden="1" customHeight="1">
      <c r="B4" s="153"/>
      <c r="E4" s="151" t="s">
        <v>280</v>
      </c>
      <c r="F4" s="152"/>
    </row>
    <row r="5" spans="1:10" s="146" customFormat="1" ht="24" hidden="1" customHeight="1">
      <c r="A5" s="154" t="s">
        <v>281</v>
      </c>
      <c r="C5" s="154"/>
      <c r="D5" s="154"/>
      <c r="E5" s="151" t="s">
        <v>282</v>
      </c>
      <c r="F5" s="152"/>
    </row>
    <row r="6" spans="1:10" s="146" customFormat="1" ht="24" hidden="1" customHeight="1">
      <c r="A6" s="155" t="s">
        <v>283</v>
      </c>
      <c r="D6" s="156"/>
      <c r="E6" s="151" t="s">
        <v>284</v>
      </c>
      <c r="F6" s="152"/>
    </row>
    <row r="7" spans="1:10" s="146" customFormat="1" ht="24" hidden="1" customHeight="1">
      <c r="A7" s="154" t="s">
        <v>285</v>
      </c>
      <c r="C7" s="154"/>
      <c r="D7" s="154"/>
      <c r="E7" s="151" t="s">
        <v>286</v>
      </c>
      <c r="F7" s="152"/>
    </row>
    <row r="8" spans="1:10" s="146" customFormat="1" ht="24" hidden="1" customHeight="1">
      <c r="A8" s="154" t="s">
        <v>287</v>
      </c>
      <c r="D8" s="156"/>
      <c r="E8" s="151"/>
      <c r="F8" s="152"/>
    </row>
    <row r="9" spans="1:10" s="146" customFormat="1" ht="24" hidden="1" customHeight="1">
      <c r="A9" s="157"/>
      <c r="C9" s="157"/>
      <c r="E9" s="151" t="s">
        <v>288</v>
      </c>
      <c r="F9" s="152"/>
    </row>
    <row r="10" spans="1:10" s="146" customFormat="1" ht="24" hidden="1" customHeight="1">
      <c r="A10" s="155" t="s">
        <v>14</v>
      </c>
      <c r="D10" s="156"/>
      <c r="E10" s="151" t="s">
        <v>289</v>
      </c>
      <c r="F10" s="158">
        <v>384</v>
      </c>
    </row>
    <row r="11" spans="1:10" s="146" customFormat="1" ht="24" hidden="1" customHeight="1">
      <c r="A11" s="155" t="s">
        <v>290</v>
      </c>
      <c r="C11" s="159"/>
      <c r="D11" s="149"/>
      <c r="E11" s="160"/>
      <c r="F11" s="161"/>
    </row>
    <row r="12" spans="1:10" s="188" customFormat="1" ht="31.5" customHeight="1">
      <c r="G12" s="189" t="s">
        <v>350</v>
      </c>
      <c r="I12" s="189" t="s">
        <v>350</v>
      </c>
    </row>
    <row r="13" spans="1:10" s="188" customFormat="1" ht="31.5" customHeight="1">
      <c r="A13" s="989" t="s">
        <v>1033</v>
      </c>
      <c r="B13" s="989"/>
      <c r="C13" s="989"/>
      <c r="D13" s="989"/>
      <c r="E13" s="989"/>
      <c r="F13" s="989"/>
      <c r="G13" s="989"/>
      <c r="H13" s="989"/>
      <c r="I13" s="989"/>
    </row>
    <row r="14" spans="1:10" s="188" customFormat="1" ht="20.100000000000001" customHeight="1">
      <c r="A14" s="810" t="s">
        <v>14</v>
      </c>
      <c r="B14" s="145"/>
      <c r="C14" s="145"/>
      <c r="D14" s="145"/>
      <c r="E14" s="145"/>
      <c r="F14" s="145"/>
      <c r="G14" s="145"/>
      <c r="H14" s="145"/>
      <c r="I14" s="145"/>
    </row>
    <row r="15" spans="1:10" s="188" customFormat="1" ht="31.5" customHeight="1">
      <c r="A15" s="994" t="s">
        <v>300</v>
      </c>
      <c r="B15" s="978"/>
      <c r="C15" s="972" t="s">
        <v>1121</v>
      </c>
      <c r="D15" s="977" t="str">
        <f>"на " &amp; DAY('Общие сведения'!$D$2) &amp; CHOOSE(MONTH('Общие сведения'!$D$2), " января ", " февраля ", " марта ", " апреля ", " мая ", " июня ", " июля ", " августа ", " сентября ", " октября ", " ноября ", " декабря ") &amp;  " " &amp; YEAR('Общие сведения'!$D$2) &amp; " г."</f>
        <v>на 31 марта  2026 г.</v>
      </c>
      <c r="E15" s="978"/>
      <c r="F15" s="977" t="str">
        <f>"на 31 декабря " &amp; YEAR('Общие сведения'!$D$2)-1 &amp; " г."</f>
        <v>на 31 декабря 2025 г.</v>
      </c>
      <c r="G15" s="978"/>
      <c r="H15" s="990" t="str">
        <f>"на 31 декабря " &amp; YEAR('Общие сведения'!$D$2)-2 &amp; " г."</f>
        <v>на 31 декабря 2024 г.</v>
      </c>
      <c r="I15" s="990"/>
      <c r="J15" s="830"/>
    </row>
    <row r="16" spans="1:10" s="188" customFormat="1" ht="62.25" customHeight="1">
      <c r="A16" s="995"/>
      <c r="B16" s="996"/>
      <c r="C16" s="974"/>
      <c r="D16" s="260" t="s">
        <v>869</v>
      </c>
      <c r="E16" s="260" t="s">
        <v>797</v>
      </c>
      <c r="F16" s="553" t="s">
        <v>869</v>
      </c>
      <c r="G16" s="260" t="s">
        <v>797</v>
      </c>
      <c r="H16" s="549" t="s">
        <v>869</v>
      </c>
      <c r="I16" s="828" t="s">
        <v>797</v>
      </c>
      <c r="J16" s="830"/>
    </row>
    <row r="17" spans="1:10" ht="18.75" hidden="1" customHeight="1">
      <c r="A17" s="754" t="s">
        <v>1121</v>
      </c>
      <c r="B17" s="751"/>
      <c r="C17" s="751"/>
      <c r="D17" s="766" t="s">
        <v>1122</v>
      </c>
      <c r="E17" s="766" t="s">
        <v>1123</v>
      </c>
      <c r="F17" s="767" t="s">
        <v>1124</v>
      </c>
      <c r="G17" s="775" t="s">
        <v>1125</v>
      </c>
      <c r="J17" s="183"/>
    </row>
    <row r="18" spans="1:10" s="188" customFormat="1" ht="50.25" customHeight="1">
      <c r="A18" s="1025" t="s">
        <v>364</v>
      </c>
      <c r="B18" s="1026"/>
      <c r="C18" s="712">
        <v>10</v>
      </c>
      <c r="D18" s="273"/>
      <c r="E18" s="273"/>
      <c r="F18" s="273"/>
      <c r="G18" s="776"/>
      <c r="H18" s="567"/>
      <c r="I18" s="559"/>
      <c r="J18" s="830"/>
    </row>
    <row r="19" spans="1:10" s="188" customFormat="1" ht="51.75" customHeight="1">
      <c r="A19" s="1163" t="s">
        <v>365</v>
      </c>
      <c r="B19" s="1164"/>
      <c r="C19" s="717">
        <v>20</v>
      </c>
      <c r="D19" s="296"/>
      <c r="E19" s="296"/>
      <c r="F19" s="296"/>
      <c r="G19" s="777"/>
      <c r="H19" s="568"/>
      <c r="I19" s="829"/>
      <c r="J19" s="830"/>
    </row>
    <row r="21" spans="1:10">
      <c r="A21" s="1160" t="str">
        <f>'Общие сведения'!B34</f>
        <v>Наим. должности (Генеральный директор, Руководитель, ... )</v>
      </c>
      <c r="B21" s="1160"/>
      <c r="C21" s="1160"/>
      <c r="D21" s="1160"/>
      <c r="E21" s="571"/>
    </row>
    <row r="22" spans="1:10">
      <c r="A22" s="1161" t="s">
        <v>956</v>
      </c>
      <c r="B22" s="1161"/>
      <c r="C22" s="1161"/>
      <c r="D22" s="1161"/>
      <c r="E22" s="572"/>
    </row>
    <row r="23" spans="1:10">
      <c r="A23" s="413"/>
      <c r="B23" s="392"/>
      <c r="C23" s="386"/>
      <c r="D23" s="386"/>
    </row>
    <row r="24" spans="1:10">
      <c r="A24" s="396"/>
      <c r="B24" s="397"/>
      <c r="C24" s="398"/>
      <c r="D24" s="398"/>
    </row>
    <row r="25" spans="1:10">
      <c r="A25" s="1158"/>
      <c r="B25" s="1158"/>
      <c r="C25" s="1158"/>
      <c r="D25" s="1158"/>
      <c r="E25" s="570"/>
      <c r="F25" s="900">
        <f>'Общие сведения'!D34</f>
        <v>0</v>
      </c>
      <c r="G25" s="900"/>
      <c r="H25" s="900"/>
      <c r="I25" s="900"/>
    </row>
    <row r="26" spans="1:10">
      <c r="A26" s="1159" t="s">
        <v>957</v>
      </c>
      <c r="B26" s="1159"/>
      <c r="C26" s="1159"/>
      <c r="D26" s="1159"/>
      <c r="E26" s="569"/>
      <c r="F26" s="1162" t="s">
        <v>958</v>
      </c>
      <c r="G26" s="1162"/>
      <c r="H26" s="1162"/>
      <c r="I26" s="1162"/>
    </row>
    <row r="27" spans="1:10">
      <c r="A27" s="396"/>
      <c r="B27" s="397"/>
      <c r="C27" s="398"/>
      <c r="D27" s="398"/>
    </row>
    <row r="28" spans="1:10" ht="26.25" customHeight="1">
      <c r="A28" s="1157" t="s">
        <v>1140</v>
      </c>
      <c r="B28" s="1157"/>
      <c r="C28" s="1157"/>
      <c r="D28" s="1157"/>
    </row>
  </sheetData>
  <mergeCells count="15">
    <mergeCell ref="F25:I25"/>
    <mergeCell ref="F26:I26"/>
    <mergeCell ref="A18:B18"/>
    <mergeCell ref="A19:B19"/>
    <mergeCell ref="A13:I13"/>
    <mergeCell ref="A15:B16"/>
    <mergeCell ref="C15:C16"/>
    <mergeCell ref="D15:E15"/>
    <mergeCell ref="F15:G15"/>
    <mergeCell ref="H15:I15"/>
    <mergeCell ref="A28:D28"/>
    <mergeCell ref="A25:D25"/>
    <mergeCell ref="A26:D26"/>
    <mergeCell ref="A21:D21"/>
    <mergeCell ref="A22:D22"/>
  </mergeCells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Оглавление</vt:lpstr>
      <vt:lpstr>Общие сведения</vt:lpstr>
      <vt:lpstr>Справочники</vt:lpstr>
      <vt:lpstr>Заголовочная часть</vt:lpstr>
      <vt:lpstr>Баланс</vt:lpstr>
      <vt:lpstr>Финансовый результат</vt:lpstr>
      <vt:lpstr>Изменение капитала</vt:lpstr>
      <vt:lpstr>Изм. капитала старый формат</vt:lpstr>
      <vt:lpstr>Коррект. изм.УП старый формат</vt:lpstr>
      <vt:lpstr>Движение денежных средств</vt:lpstr>
      <vt:lpstr>5.1.1</vt:lpstr>
      <vt:lpstr>5.1.2</vt:lpstr>
      <vt:lpstr>5.1.3</vt:lpstr>
      <vt:lpstr>5.2.1</vt:lpstr>
      <vt:lpstr>5.2.2</vt:lpstr>
      <vt:lpstr>5.2.3</vt:lpstr>
      <vt:lpstr>5.2.4</vt:lpstr>
      <vt:lpstr>5.3.1</vt:lpstr>
      <vt:lpstr>5.3.2</vt:lpstr>
      <vt:lpstr>5.4.1 5.4.2</vt:lpstr>
      <vt:lpstr>5.5</vt:lpstr>
      <vt:lpstr>5.6</vt:lpstr>
      <vt:lpstr>5.7</vt:lpstr>
      <vt:lpstr>5.8</vt:lpstr>
      <vt:lpstr>'5.1.1'!Область_печати</vt:lpstr>
      <vt:lpstr>'5.1.2'!Область_печати</vt:lpstr>
      <vt:lpstr>'5.1.3'!Область_печати</vt:lpstr>
      <vt:lpstr>'5.2.1'!Область_печати</vt:lpstr>
      <vt:lpstr>'5.2.2'!Область_печати</vt:lpstr>
      <vt:lpstr>'5.2.3'!Область_печати</vt:lpstr>
      <vt:lpstr>'5.2.4'!Область_печати</vt:lpstr>
      <vt:lpstr>'5.3.1'!Область_печати</vt:lpstr>
      <vt:lpstr>'5.3.2'!Область_печати</vt:lpstr>
      <vt:lpstr>'5.4.1 5.4.2'!Область_печати</vt:lpstr>
      <vt:lpstr>'5.5'!Область_печати</vt:lpstr>
      <vt:lpstr>'5.6'!Область_печати</vt:lpstr>
      <vt:lpstr>'5.7'!Область_печати</vt:lpstr>
      <vt:lpstr>'5.8'!Область_печати</vt:lpstr>
      <vt:lpstr>Баланс!Область_печати</vt:lpstr>
      <vt:lpstr>'Движение денежных средств'!Область_печати</vt:lpstr>
      <vt:lpstr>'Заголовочная часть'!Область_печати</vt:lpstr>
      <vt:lpstr>'Изм. капитала старый формат'!Область_печати</vt:lpstr>
      <vt:lpstr>'Изменение капитала'!Область_печати</vt:lpstr>
      <vt:lpstr>'Коррект. изм.УП старый формат'!Область_печати</vt:lpstr>
      <vt:lpstr>'Общие сведения'!Область_печати</vt:lpstr>
      <vt:lpstr>Оглавление!Область_печати</vt:lpstr>
      <vt:lpstr>'Финансовый результат'!Область_печати</vt:lpstr>
    </vt:vector>
  </TitlesOfParts>
  <Company>GAZPROM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metodol@adm.gazpgom.ru</dc:creator>
  <cp:lastModifiedBy>Щербаков Алексей Юрьевич</cp:lastModifiedBy>
  <cp:lastPrinted>2026-03-26T10:53:33Z</cp:lastPrinted>
  <dcterms:created xsi:type="dcterms:W3CDTF">2011-03-17T06:16:28Z</dcterms:created>
  <dcterms:modified xsi:type="dcterms:W3CDTF">2026-03-26T10:56:47Z</dcterms:modified>
</cp:coreProperties>
</file>